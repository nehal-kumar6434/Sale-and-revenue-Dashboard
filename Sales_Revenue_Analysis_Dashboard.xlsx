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les Data" sheetId="1" state="visible" r:id="rId3"/>
    <sheet name="Dashboard" sheetId="2" state="visible" r:id="rId4"/>
    <sheet name="Monthly Summary" sheetId="3" state="visible" r:id="rId5"/>
    <sheet name="Product Summary" sheetId="4" state="visible" r:id="rId6"/>
    <sheet name="Read 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<sst xmlns="http://schemas.openxmlformats.org/spreadsheetml/2006/main" count="1224" uniqueCount="302">
  <si>
    <t xml:space="preserve">Serial No</t>
  </si>
  <si>
    <t xml:space="preserve">Product Name</t>
  </si>
  <si>
    <t xml:space="preserve">Sale Price</t>
  </si>
  <si>
    <t xml:space="preserve">Sale Date</t>
  </si>
  <si>
    <t xml:space="preserve">Customer Name</t>
  </si>
  <si>
    <t xml:space="preserve">Month</t>
  </si>
  <si>
    <t xml:space="preserve">ProductID</t>
  </si>
  <si>
    <t xml:space="preserve">Sale Quantity</t>
  </si>
  <si>
    <t xml:space="preserve">Profit</t>
  </si>
  <si>
    <t xml:space="preserve">Revenue</t>
  </si>
  <si>
    <t xml:space="preserve">27-inch Monitor</t>
  </si>
  <si>
    <t xml:space="preserve">Neha Kapoor</t>
  </si>
  <si>
    <t xml:space="preserve">Wireless Mouse</t>
  </si>
  <si>
    <t xml:space="preserve">Neha Verma</t>
  </si>
  <si>
    <t xml:space="preserve">Webcam Full HD</t>
  </si>
  <si>
    <t xml:space="preserve">Karan Gupta</t>
  </si>
  <si>
    <t xml:space="preserve">Rohan Menon</t>
  </si>
  <si>
    <t xml:space="preserve">Suresh Das</t>
  </si>
  <si>
    <t xml:space="preserve">Laptop Backpack</t>
  </si>
  <si>
    <t xml:space="preserve">Riya Banerjee</t>
  </si>
  <si>
    <t xml:space="preserve">Tablet 10-inch</t>
  </si>
  <si>
    <t xml:space="preserve">Sunita Reddy</t>
  </si>
  <si>
    <t xml:space="preserve">Noise-Cancelling Headphones</t>
  </si>
  <si>
    <t xml:space="preserve">Karan Nair</t>
  </si>
  <si>
    <t xml:space="preserve">Sunita Chopra</t>
  </si>
  <si>
    <t xml:space="preserve">Standing Desk</t>
  </si>
  <si>
    <t xml:space="preserve">Shreya Agarwal</t>
  </si>
  <si>
    <t xml:space="preserve">USB-C Hub 7-in-1</t>
  </si>
  <si>
    <t xml:space="preserve">Lakshmi Malhotra</t>
  </si>
  <si>
    <t xml:space="preserve">Air Purifier</t>
  </si>
  <si>
    <t xml:space="preserve">Rahul Chatterjee</t>
  </si>
  <si>
    <t xml:space="preserve">Smartphone 5G</t>
  </si>
  <si>
    <t xml:space="preserve">Neha Sharma</t>
  </si>
  <si>
    <t xml:space="preserve">Meera Reddy</t>
  </si>
  <si>
    <t xml:space="preserve">Power Bank 20000mAh</t>
  </si>
  <si>
    <t xml:space="preserve">Manish Iyer</t>
  </si>
  <si>
    <t xml:space="preserve">Tanvi Nair</t>
  </si>
  <si>
    <t xml:space="preserve">Bluetooth Speaker</t>
  </si>
  <si>
    <t xml:space="preserve">Mohit Pandey</t>
  </si>
  <si>
    <t xml:space="preserve">Ananya Joshi</t>
  </si>
  <si>
    <t xml:space="preserve">Ananya Nair</t>
  </si>
  <si>
    <t xml:space="preserve">Isha Patel</t>
  </si>
  <si>
    <t xml:space="preserve">LED Desk Lamp</t>
  </si>
  <si>
    <t xml:space="preserve">Ergonomic Office Chair</t>
  </si>
  <si>
    <t xml:space="preserve">Arjun Nair</t>
  </si>
  <si>
    <t xml:space="preserve">Fitness Band</t>
  </si>
  <si>
    <t xml:space="preserve">Manish Kapoor</t>
  </si>
  <si>
    <t xml:space="preserve">Nisha Malhotra</t>
  </si>
  <si>
    <t xml:space="preserve">Wi-Fi 6 Router</t>
  </si>
  <si>
    <t xml:space="preserve">Nisha Gupta</t>
  </si>
  <si>
    <t xml:space="preserve">Priya Menon</t>
  </si>
  <si>
    <t xml:space="preserve">Kavya Verma</t>
  </si>
  <si>
    <t xml:space="preserve">Mechanical Keyboard</t>
  </si>
  <si>
    <t xml:space="preserve">Rohan Verma</t>
  </si>
  <si>
    <t xml:space="preserve">Rahul Gupta</t>
  </si>
  <si>
    <t xml:space="preserve">Mohit Kumar</t>
  </si>
  <si>
    <t xml:space="preserve">Meera Verma</t>
  </si>
  <si>
    <t xml:space="preserve">Nikhil Mishra</t>
  </si>
  <si>
    <t xml:space="preserve">Ananya Yadav</t>
  </si>
  <si>
    <t xml:space="preserve">Kavya Kumar</t>
  </si>
  <si>
    <t xml:space="preserve">Smart Watch</t>
  </si>
  <si>
    <t xml:space="preserve">Pooja Yadav</t>
  </si>
  <si>
    <t xml:space="preserve">Sneha Kumar</t>
  </si>
  <si>
    <t xml:space="preserve">Amit Chatterjee</t>
  </si>
  <si>
    <t xml:space="preserve">Laser Printer</t>
  </si>
  <si>
    <t xml:space="preserve">Amit Chopra</t>
  </si>
  <si>
    <t xml:space="preserve">Neha Mehta</t>
  </si>
  <si>
    <t xml:space="preserve">Swati Kapoor</t>
  </si>
  <si>
    <t xml:space="preserve">Sneha Banerjee</t>
  </si>
  <si>
    <t xml:space="preserve">Sunita Gupta</t>
  </si>
  <si>
    <t xml:space="preserve">Vivaan Pandey</t>
  </si>
  <si>
    <t xml:space="preserve">Tanvi Pandey</t>
  </si>
  <si>
    <t xml:space="preserve">Nisha Mishra</t>
  </si>
  <si>
    <t xml:space="preserve">Harish Das</t>
  </si>
  <si>
    <t xml:space="preserve">Manish Menon</t>
  </si>
  <si>
    <t xml:space="preserve">Harish Yadav</t>
  </si>
  <si>
    <t xml:space="preserve">Karan Pandey</t>
  </si>
  <si>
    <t xml:space="preserve">Lakshmi Pandey</t>
  </si>
  <si>
    <t xml:space="preserve">Amit Sharma</t>
  </si>
  <si>
    <t xml:space="preserve">Sneha Gupta</t>
  </si>
  <si>
    <t xml:space="preserve">Nisha Iyer</t>
  </si>
  <si>
    <t xml:space="preserve">Pooja Verma</t>
  </si>
  <si>
    <t xml:space="preserve">Rekha Das</t>
  </si>
  <si>
    <t xml:space="preserve">Ramesh Agarwal</t>
  </si>
  <si>
    <t xml:space="preserve">Sneha Kapoor</t>
  </si>
  <si>
    <t xml:space="preserve">Kavya Pillai</t>
  </si>
  <si>
    <t xml:space="preserve">Rekha Bansal</t>
  </si>
  <si>
    <t xml:space="preserve">Manish Pandey</t>
  </si>
  <si>
    <t xml:space="preserve">Anjali Gupta</t>
  </si>
  <si>
    <t xml:space="preserve">Amit Nair</t>
  </si>
  <si>
    <t xml:space="preserve">Rohan Das</t>
  </si>
  <si>
    <t xml:space="preserve">Karan Verma</t>
  </si>
  <si>
    <t xml:space="preserve">Ananya Chatterjee</t>
  </si>
  <si>
    <t xml:space="preserve">Kavya Mishra</t>
  </si>
  <si>
    <t xml:space="preserve">Sneha Chatterjee</t>
  </si>
  <si>
    <t xml:space="preserve">Divya Malhotra</t>
  </si>
  <si>
    <t xml:space="preserve">Amit Kumar</t>
  </si>
  <si>
    <t xml:space="preserve">Pooja Patel</t>
  </si>
  <si>
    <t xml:space="preserve">Nisha Pillai</t>
  </si>
  <si>
    <t xml:space="preserve">Harish Reddy</t>
  </si>
  <si>
    <t xml:space="preserve">Sanjay Chatterjee</t>
  </si>
  <si>
    <t xml:space="preserve">Anjali Sharma</t>
  </si>
  <si>
    <t xml:space="preserve">Rahul Banerjee</t>
  </si>
  <si>
    <t xml:space="preserve">Vivaan Gupta</t>
  </si>
  <si>
    <t xml:space="preserve">External SSD 1TB</t>
  </si>
  <si>
    <t xml:space="preserve">Rohan Chopra</t>
  </si>
  <si>
    <t xml:space="preserve">Vivaan Singh</t>
  </si>
  <si>
    <t xml:space="preserve">Aarav Pillai</t>
  </si>
  <si>
    <t xml:space="preserve">Manish Chatterjee</t>
  </si>
  <si>
    <t xml:space="preserve">Harish Agarwal</t>
  </si>
  <si>
    <t xml:space="preserve">Neha Kumar</t>
  </si>
  <si>
    <t xml:space="preserve">Neha Gupta</t>
  </si>
  <si>
    <t xml:space="preserve">Pooja Pillai</t>
  </si>
  <si>
    <t xml:space="preserve">Priya Singh</t>
  </si>
  <si>
    <t xml:space="preserve">Kavya Pandey</t>
  </si>
  <si>
    <t xml:space="preserve">Sneha Nair</t>
  </si>
  <si>
    <t xml:space="preserve">Isha Yadav</t>
  </si>
  <si>
    <t xml:space="preserve">Rekha Nair</t>
  </si>
  <si>
    <t xml:space="preserve">Meera Chopra</t>
  </si>
  <si>
    <t xml:space="preserve">Aarav Chatterjee</t>
  </si>
  <si>
    <t xml:space="preserve">Nisha Kumar</t>
  </si>
  <si>
    <t xml:space="preserve">Riya Chopra</t>
  </si>
  <si>
    <t xml:space="preserve">Meera Bansal</t>
  </si>
  <si>
    <t xml:space="preserve">Sneha Sharma</t>
  </si>
  <si>
    <t xml:space="preserve">Isha Kapoor</t>
  </si>
  <si>
    <t xml:space="preserve">Aarav Das</t>
  </si>
  <si>
    <t xml:space="preserve">Harish Verma</t>
  </si>
  <si>
    <t xml:space="preserve">Divya Banerjee</t>
  </si>
  <si>
    <t xml:space="preserve">Harish Joshi</t>
  </si>
  <si>
    <t xml:space="preserve">Isha Agarwal</t>
  </si>
  <si>
    <t xml:space="preserve">Mohit Mishra</t>
  </si>
  <si>
    <t xml:space="preserve">Anjali Singh</t>
  </si>
  <si>
    <t xml:space="preserve">Priya Kumar</t>
  </si>
  <si>
    <t xml:space="preserve">Sneha Menon</t>
  </si>
  <si>
    <t xml:space="preserve">Swati Das</t>
  </si>
  <si>
    <t xml:space="preserve">Mohit Chopra</t>
  </si>
  <si>
    <t xml:space="preserve">Suresh Singh</t>
  </si>
  <si>
    <t xml:space="preserve">Isha Mehta</t>
  </si>
  <si>
    <t xml:space="preserve">Lakshmi Nair</t>
  </si>
  <si>
    <t xml:space="preserve">SALES &amp; REVENUE ANALYSIS DASHBOARD</t>
  </si>
  <si>
    <t xml:space="preserve">helper criteria</t>
  </si>
  <si>
    <t xml:space="preserve">SYNTHETIC SAMPLE DATA  |  500 transactions  |  Nov 2025 - Oct 2026  |  All amounts in Indian Rupees (₹)</t>
  </si>
  <si>
    <t xml:space="preserve">Filter by Month:</t>
  </si>
  <si>
    <t xml:space="preserve">All Months</t>
  </si>
  <si>
    <t xml:space="preserve">Filter by Product:</t>
  </si>
  <si>
    <t xml:space="preserve">All Products</t>
  </si>
  <si>
    <t xml:space="preserve">&lt;- pick from the dropdowns</t>
  </si>
  <si>
    <t xml:space="preserve">TOTAL REVENUE</t>
  </si>
  <si>
    <t xml:space="preserve">TOTAL PROFIT</t>
  </si>
  <si>
    <t xml:space="preserve">TOTAL QUANTITY SOLD</t>
  </si>
  <si>
    <t xml:space="preserve">TOTAL SALES TRANSACTIONS</t>
  </si>
  <si>
    <t xml:space="preserve">AVERAGE ORDER VALUE</t>
  </si>
  <si>
    <t xml:space="preserve">Dashboard is formula-driven: it updates when Sales Data changes. Month filter drives KPIs + product charts; Product filter drives KPIs + monthly charts. See 'Read Me' for PivotTable/Slicer steps.</t>
  </si>
  <si>
    <t xml:space="preserve">MONTHLY SUMMARY</t>
  </si>
  <si>
    <t xml:space="preserve">Transactions</t>
  </si>
  <si>
    <t xml:space="preserve">Quantity Sold</t>
  </si>
  <si>
    <t xml:space="preserve">Revenue (₹)</t>
  </si>
  <si>
    <t xml:space="preserve">Profit (₹)</t>
  </si>
  <si>
    <t xml:space="preserve">Profit Margin %</t>
  </si>
  <si>
    <t xml:space="preserve">Avg Order Value (₹)</t>
  </si>
  <si>
    <t xml:space="preserve">Revenue Share %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</si>
  <si>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</si>
  <si>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</si>
  <si>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</si>
  <si>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</si>
  <si>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</si>
  <si>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</si>
  <si>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</si>
  <si>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</si>
  <si>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</si>
  <si>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</si>
  <si>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</si>
  <si>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</si>
  <si>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TOTAL</t>
  </si>
  <si>
    <t xml:space="preserve">PRODUCT SUMMARY</t>
  </si>
  <si>
    <t xml:space="preserve">RANKED BY REVENUE (feeds Top 10 and product charts)</t>
  </si>
  <si>
    <t xml:space="preserve">Product ID</t>
  </si>
  <si>
    <t xml:space="preserve">Category</t>
  </si>
  <si>
    <t xml:space="preserve">List Price (₹)</t>
  </si>
  <si>
    <t xml:space="preserve">Assumed Profit Margin %</t>
  </si>
  <si>
    <t xml:space="preserve">Actual Profit Margin %</t>
  </si>
  <si>
    <t xml:space="preserve">Revenue Rank</t>
  </si>
  <si>
    <t xml:space="preserve">Rank</t>
  </si>
  <si>
    <t xml:space="preserve">Product (ranked by revenue)</t>
  </si>
  <si>
    <t xml:space="preserve">Product list (dropdown source)</t>
  </si>
  <si>
    <t xml:space="preserve">PRD-1001</t>
  </si>
  <si>
    <t xml:space="preserve">Accessories</t>
  </si>
  <si>
    <t xml:space="preserve">PRD-1002</t>
  </si>
  <si>
    <t xml:space="preserve">PRD-1003</t>
  </si>
  <si>
    <t xml:space="preserve">PRD-1004</t>
  </si>
  <si>
    <t xml:space="preserve">PRD-1005</t>
  </si>
  <si>
    <t xml:space="preserve">PRD-1006</t>
  </si>
  <si>
    <t xml:space="preserve">Mobile Accessories</t>
  </si>
  <si>
    <t xml:space="preserve">PRD-1007</t>
  </si>
  <si>
    <t xml:space="preserve">Audio</t>
  </si>
  <si>
    <t xml:space="preserve">PRD-1008</t>
  </si>
  <si>
    <t xml:space="preserve">PRD-1009</t>
  </si>
  <si>
    <t xml:space="preserve">Wearables</t>
  </si>
  <si>
    <t xml:space="preserve">PRD-1010</t>
  </si>
  <si>
    <t xml:space="preserve">PRD-1011</t>
  </si>
  <si>
    <t xml:space="preserve">Computing</t>
  </si>
  <si>
    <t xml:space="preserve">PRD-1012</t>
  </si>
  <si>
    <t xml:space="preserve">PRD-1013</t>
  </si>
  <si>
    <t xml:space="preserve">Networking</t>
  </si>
  <si>
    <t xml:space="preserve">PRD-1014</t>
  </si>
  <si>
    <t xml:space="preserve">Office</t>
  </si>
  <si>
    <t xml:space="preserve">PRD-1015</t>
  </si>
  <si>
    <t xml:space="preserve">Furniture</t>
  </si>
  <si>
    <t xml:space="preserve">PRD-1016</t>
  </si>
  <si>
    <t xml:space="preserve">PRD-1017</t>
  </si>
  <si>
    <t xml:space="preserve">Home &amp; Office</t>
  </si>
  <si>
    <t xml:space="preserve">PRD-1018</t>
  </si>
  <si>
    <t xml:space="preserve">Home Appliances</t>
  </si>
  <si>
    <t xml:space="preserve">PRD-1019</t>
  </si>
  <si>
    <t xml:space="preserve">Mobiles &amp; Tablets</t>
  </si>
  <si>
    <t xml:space="preserve">PRD-1020</t>
  </si>
  <si>
    <t xml:space="preserve">Blue cells (column E) are the assumed profit-margin inputs; the Sales Data 'Profit' column reads them. To add a product, insert a row inside this block and extend the ranges.</t>
  </si>
  <si>
    <t xml:space="preserve">SALES &amp; REVENUE ANALYSIS DASHBOARD - READ ME</t>
  </si>
  <si>
    <t xml:space="preserve">ALL DATA IN THIS WORKBOOK IS SYNTHETIC SAMPLE DATA generated for a portfolio project. Names, prices, sales and margins are fictional and do not represent any real business or person.</t>
  </si>
  <si>
    <t xml:space="preserve">1. PROJECT OVERVIEW</t>
  </si>
  <si>
    <t xml:space="preserve">Purpose</t>
  </si>
  <si>
    <t xml:space="preserve">Analyse 12 months of sales (Nov 2025 - Oct 2026) to track revenue, profit, quantity and product performance, and present them in one interactive dashboard.</t>
  </si>
  <si>
    <t xml:space="preserve">Tools / skills shown</t>
  </si>
  <si>
    <t xml:space="preserve">Excel Tables, structured data entry, INDEX/MATCH, SUMIFS/COUNTIFS, RANK, data validation (dropdown filters), conditional formatting (data bars), KPI cards, combo charts, documentation.</t>
  </si>
  <si>
    <t xml:space="preserve">2. WORKSHEETS</t>
  </si>
  <si>
    <t xml:space="preserve">Sales Data</t>
  </si>
  <si>
    <t xml:space="preserve">500 transaction rows in the Excel Table 'SalesTable' (filters on, header row frozen).</t>
  </si>
  <si>
    <t xml:space="preserve">Dashboard</t>
  </si>
  <si>
    <t xml:space="preserve">KPI cards, 2 dropdown filters and 6 charts. Everything is formula-driven.</t>
  </si>
  <si>
    <t xml:space="preserve">Monthly Summary</t>
  </si>
  <si>
    <t xml:space="preserve">Transactions, quantity, revenue, profit, margin %, average order value and revenue share for each month.</t>
  </si>
  <si>
    <t xml:space="preserve">Product Summary</t>
  </si>
  <si>
    <t xml:space="preserve">Product catalogue + assumed margins (inputs), product totals, and a ranked-by-revenue table that feeds the Top 10 and product charts.</t>
  </si>
  <si>
    <t xml:space="preserve">Read Me</t>
  </si>
  <si>
    <t xml:space="preserve">This page.</t>
  </si>
  <si>
    <t xml:space="preserve">3. COLUMN DICTIONARY (Sales Data)</t>
  </si>
  <si>
    <t xml:space="preserve">Hard-coded 1 to 500.</t>
  </si>
  <si>
    <t xml:space="preserve">Hard-coded; one of 20 products listed on Product Summary.</t>
  </si>
  <si>
    <t xml:space="preserve">Hard-coded unit price in ₹ (list price varied by roughly -8% to +5% to mimic discounts / price changes).</t>
  </si>
  <si>
    <t xml:space="preserve">Hard-coded real Excel dates, 01-Nov-2025 to 26-Oct-2026.</t>
  </si>
  <si>
    <t xml:space="preserve">Hard-coded synthetic Indian names (110 distinct customers, repeat purchases allowed).</t>
  </si>
  <si>
    <t xml:space="preserve">Formula: TEXT(SaleDate,"mmmm") - derived automatically from Sale Date.</t>
  </si>
  <si>
    <t xml:space="preserve">Formula: INDEX / MATCH on the Product Summary catalogue (PRD-1001 to PRD-1020, one unique ID per product).</t>
  </si>
  <si>
    <t xml:space="preserve">Hard-coded units sold (1 to 10 for low-priced items, 1 to 2-3 for high-priced items).</t>
  </si>
  <si>
    <t xml:space="preserve">Formula: ROUND(Revenue x Assumed Profit Margin %, 2); margin is looked up per product (see assumption below).</t>
  </si>
  <si>
    <t xml:space="preserve">Formula: Sale Price x Sale Quantity.</t>
  </si>
  <si>
    <t xml:space="preserve">4. ASSUMPTIONS</t>
  </si>
  <si>
    <t xml:space="preserve">Profit margin</t>
  </si>
  <si>
    <t xml:space="preserve">Profit = Revenue x product margin. Margins are ASSUMED (not real) and set per product on Product Summary, column E (blue = editable input): 10%-20% for big-ticket items (phones, tablets, monitors, furniture), 24%-38% for accessories and small items. Change a blue cell and the whole workbook updates.</t>
  </si>
  <si>
    <t xml:space="preserve">Currency</t>
  </si>
  <si>
    <t xml:space="preserve">All amounts are in Indian Rupees (₹). Large totals use Indian digit grouping (lakh / crore).</t>
  </si>
  <si>
    <t xml:space="preserve">Seasonality</t>
  </si>
  <si>
    <t xml:space="preserve">More sales were generated for Oct-Dec (festive season) than for Jun-Jul to make the trend charts realistic.</t>
  </si>
  <si>
    <t xml:space="preserve">Average Order Value</t>
  </si>
  <si>
    <t xml:space="preserve">Total Revenue / Number of transactions (each row = one order).</t>
  </si>
  <si>
    <t xml:space="preserve">Month names</t>
  </si>
  <si>
    <t xml:space="preserve">Month is shown as a month name. This is unambiguous because the data spans exactly 12 months. If you extend beyond 12 months, change Month to a 'yyyy-mm' text and update the month labels.</t>
  </si>
  <si>
    <t xml:space="preserve">5. HOW TO USE THE DASHBOARD</t>
  </si>
  <si>
    <t xml:space="preserve">Dropdown filters</t>
  </si>
  <si>
    <t xml:space="preserve">On Dashboard, use 'Filter by Month' and 'Filter by Product' (yellow cells). Month filter drives the KPIs and the product charts/tables; Product filter drives the KPIs and the monthly charts/tables. Set both back to 'All ...' for full totals.</t>
  </si>
  <si>
    <t xml:space="preserve">Refreshing data</t>
  </si>
  <si>
    <t xml:space="preserve">Type or paste new rows directly under the last row of Sales Data (the Table expands). Copy the formulas in Month, ProductID, Profit and Revenue down. All summaries use whole-column references, so they pick up new rows automatically.</t>
  </si>
  <si>
    <t xml:space="preserve">Adding months / products</t>
  </si>
  <si>
    <t xml:space="preserve">Add a month label or product row to the summary sheets (the Product Summary and Monthly Summary lists are typed in).</t>
  </si>
  <si>
    <t xml:space="preserve">6. OPTIONAL: ADD POWERTABLES (PivotTables, PivotCharts, Slicers)</t>
  </si>
  <si>
    <t xml:space="preserve">Why optional</t>
  </si>
  <si>
    <t xml:space="preserve">PivotTables and slicers are created inside desktop Excel and cannot be embedded by the script that generated this file. The dashboard above already provides the same views using formulas + dropdown filters. Follow the steps below if you want true slicers.</t>
  </si>
  <si>
    <t xml:space="preserve">Step 1 - PivotTable</t>
  </si>
  <si>
    <t xml:space="preserve">Click any cell in Sales Data &gt; Insert &gt; PivotTable &gt; New Worksheet. Put 'Month' in Rows, and 'Revenue', 'Profit', 'Sale Quantity' in Values (Sum).</t>
  </si>
  <si>
    <t xml:space="preserve">Step 2 - PivotChart</t>
  </si>
  <si>
    <t xml:space="preserve">Click the PivotTable &gt; Insert &gt; PivotChart &gt; choose Line (revenue by month) or Column / Bar.</t>
  </si>
  <si>
    <t xml:space="preserve">Step 3 - Slicers</t>
  </si>
  <si>
    <t xml:space="preserve">Click the PivotTable &gt; PivotTable Analyze &gt; Insert Slicer &gt; tick 'Month' and 'Product Name'. Right-click each slicer &gt; Report Connections to link it to every PivotTable.</t>
  </si>
  <si>
    <t xml:space="preserve">Step 4 - Refresh</t>
  </si>
  <si>
    <t xml:space="preserve">Data &gt; Refresh All after changing source data (PivotTables do not auto-refresh unless set in PivotTable Options).</t>
  </si>
  <si>
    <t xml:space="preserve">7. DATA QUALITY CHECKS (live formulas)</t>
  </si>
  <si>
    <t xml:space="preserve">Record count = 500</t>
  </si>
  <si>
    <t xml:space="preserve">Number of serial numbers on Sales Data</t>
  </si>
  <si>
    <t xml:space="preserve">Serial 1-500 sequential</t>
  </si>
  <si>
    <t xml:space="preserve">No gaps or duplicates in the numbering</t>
  </si>
  <si>
    <t xml:space="preserve">No blank cells</t>
  </si>
  <si>
    <t xml:space="preserve">Every cell in the table is filled</t>
  </si>
  <si>
    <t xml:space="preserve">All dates valid, 12 months</t>
  </si>
  <si>
    <t xml:space="preserve">Sale Date holds numeric dates inside Nov 2025 - Oct 2026</t>
  </si>
  <si>
    <t xml:space="preserve">Revenue = Price x Qty</t>
  </si>
  <si>
    <t xml:space="preserve">Independent recalculation of total revenue</t>
  </si>
  <si>
    <t xml:space="preserve">Profit &lt;= Revenue, &gt; 0</t>
  </si>
  <si>
    <t xml:space="preserve">Profit is positive and never above revenue</t>
  </si>
  <si>
    <t xml:space="preserve">Month-sheet revenue match</t>
  </si>
  <si>
    <t xml:space="preserve">Monthly Summary total vs source (OK when Product filter = All)</t>
  </si>
  <si>
    <t xml:space="preserve">Product-sheet revenue match</t>
  </si>
  <si>
    <t xml:space="preserve">Product Summary total vs source (OK when Month filter = All)</t>
  </si>
  <si>
    <t xml:space="preserve">Dashboard KPI revenue match</t>
  </si>
  <si>
    <t xml:space="preserve">KPI card vs source (OK when both filters = All)</t>
  </si>
  <si>
    <t xml:space="preserve">Dashboard KPI profit match</t>
  </si>
  <si>
    <t xml:space="preserve">8. INTERVIEW TALKING POINTS</t>
  </si>
  <si>
    <t xml:space="preserve">Business question</t>
  </si>
  <si>
    <t xml:space="preserve">Which months and products drive revenue and profit, and where is margin strongest or weakest?</t>
  </si>
  <si>
    <t xml:space="preserve">Insight to look for</t>
  </si>
  <si>
    <t xml:space="preserve">High-priced products (phones, tablets, monitors) bring large revenue but low margin %, while accessories are lower in revenue but higher in margin %. Festive months (Oct - Dec) peak in revenue.</t>
  </si>
  <si>
    <t xml:space="preserve">Method</t>
  </si>
  <si>
    <t xml:space="preserve">Clean table -&gt; derived columns with formulas -&gt; SUMIFS summaries -&gt; KPI cards + charts -&gt; data-quality checks.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</si>
</sst>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&gt;=10000000]\₹##\,##\,##\,##0;[&gt;=100000]\₹##\,##\,##0;\₹##,##0"/>
    <numFmt numFmtId="166" formatCode="dd\-mmm\-yyyy"/>
    <numFmt numFmtId="167" formatCode="[&gt;=10000000]\₹##\,##\,##\,##0.00;[&gt;=100000]\₹##\,##\,##0.00;\₹##,##0.00"/>
    <numFmt numFmtId="168" formatCode="#,##0"/>
    <numFmt numFmtId="169" formatCode="\₹#,##0"/>
    <numFmt numFmtId="170" formatCode="0%"/>
    <numFmt numFmtId="171" formatCode="General"/>
    <numFmt numFmtId="172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2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A9D8F"/>
      <name val="Arial"/>
      <family val="0"/>
      <charset val="1"/>
    </font>
    <font>
      <b val="true"/>
      <sz val="20"/>
      <color rgb="FFE76F51"/>
      <name val="Arial"/>
      <family val="0"/>
      <charset val="1"/>
    </font>
    <font>
      <b val="true"/>
      <sz val="20"/>
      <color rgb="FF6A4C93"/>
      <name val="Arial"/>
      <family val="0"/>
      <charset val="1"/>
    </font>
    <font>
      <b val="true"/>
      <sz val="20"/>
      <color rgb="FFC9972B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1F6"/>
        <bgColor rgb="FFE2F0D9"/>
      </patternFill>
    </fill>
    <fill>
      <patternFill patternType="solid">
        <fgColor rgb="FF2A9D8F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76F51"/>
        <bgColor rgb="FFFF6600"/>
      </patternFill>
    </fill>
    <fill>
      <patternFill patternType="solid">
        <fgColor rgb="FF6A4C93"/>
        <bgColor rgb="FF666666"/>
      </patternFill>
    </fill>
    <fill>
      <patternFill patternType="solid">
        <fgColor rgb="FFC9972B"/>
        <bgColor rgb="FFE76F51"/>
      </patternFill>
    </fill>
    <fill>
      <patternFill patternType="solid">
        <fgColor rgb="FFFFFFFF"/>
        <bgColor rgb="FFFFF8DC"/>
      </patternFill>
    </fill>
    <fill>
      <patternFill patternType="solid">
        <fgColor rgb="FFDCE3F0"/>
        <bgColor rgb="FFD9D9D9"/>
      </patternFill>
    </fill>
    <fill>
      <patternFill patternType="solid">
        <fgColor rgb="FF7F8CA3"/>
        <bgColor rgb="FF878787"/>
      </patternFill>
    </fill>
    <fill>
      <patternFill patternType="solid">
        <fgColor rgb="FFE2F0D9"/>
        <bgColor rgb="FFEEF1F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medium">
        <color rgb="FF2A9D8F"/>
      </bottom>
      <diagonal/>
    </border>
    <border diagonalUp="false" diagonalDown="false">
      <left/>
      <right/>
      <top/>
      <bottom style="medium">
        <color rgb="FFE76F51"/>
      </bottom>
      <diagonal/>
    </border>
    <border diagonalUp="false" diagonalDown="false">
      <left/>
      <right/>
      <top/>
      <bottom style="medium">
        <color rgb="FF6A4C93"/>
      </bottom>
      <diagonal/>
    </border>
    <border diagonalUp="false" diagonalDown="false">
      <left/>
      <right/>
      <top/>
      <bottom style="medium">
        <color rgb="FFC997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78787"/>
      <rgbColor rgb="FF9999FF"/>
      <rgbColor rgb="FF6A4C93"/>
      <rgbColor rgb="FFFFF8DC"/>
      <rgbColor rgb="FFEEF1F6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0"/>
      <rgbColor rgb="FFE2F0D9"/>
      <rgbColor rgb="FFFFFF99"/>
      <rgbColor rgb="FF99CCFF"/>
      <rgbColor rgb="FFFF99CC"/>
      <rgbColor rgb="FFCC99FF"/>
      <rgbColor rgb="FFE9C46A"/>
      <rgbColor rgb="FF3A6EA5"/>
      <rgbColor rgb="FF33CCCC"/>
      <rgbColor rgb="FF99CC00"/>
      <rgbColor rgb="FFFFCC00"/>
      <rgbColor rgb="FFC9972B"/>
      <rgbColor rgb="FFFF6600"/>
      <rgbColor rgb="FF666666"/>
      <rgbColor rgb="FF7F8CA3"/>
      <rgbColor rgb="FF1F3864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Month-wise Total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Summary'!D4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'Monthly Summary'!$D$5:$D$16</c:f>
              <c:numCache>
                <c:formatCode>[&gt;=10000000]\₹##\,##\,##\,##0;[&gt;=100000]\₹##\,##\,##0;\₹##,##0</c:formatCode>
                <c:ptCount val="12"/>
                <c:pt idx="0">
                  <c:v>783205</c:v>
                </c:pt>
                <c:pt idx="1">
                  <c:v>481020</c:v>
                </c:pt>
                <c:pt idx="2">
                  <c:v>572370</c:v>
                </c:pt>
                <c:pt idx="3">
                  <c:v>628830</c:v>
                </c:pt>
                <c:pt idx="4">
                  <c:v>466900</c:v>
                </c:pt>
                <c:pt idx="5">
                  <c:v>554150</c:v>
                </c:pt>
                <c:pt idx="6">
                  <c:v>827635</c:v>
                </c:pt>
                <c:pt idx="7">
                  <c:v>577435</c:v>
                </c:pt>
                <c:pt idx="8">
                  <c:v>704620</c:v>
                </c:pt>
                <c:pt idx="9">
                  <c:v>759855</c:v>
                </c:pt>
                <c:pt idx="10">
                  <c:v>791015</c:v>
                </c:pt>
                <c:pt idx="11">
                  <c:v>823335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795660"/>
        <c:axId val="96601816"/>
      </c:lineChart>
      <c:catAx>
        <c:axId val="987956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01816"/>
        <c:crosses val="autoZero"/>
        <c:auto val="1"/>
        <c:lblAlgn val="ctr"/>
        <c:lblOffset val="100"/>
        <c:noMultiLvlLbl val="0"/>
      </c:catAx>
      <c:valAx>
        <c:axId val="96601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956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Month-wise Total Sales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Summary'!C4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'Monthly Summary'!$C$5:$C$16</c:f>
              <c:numCache>
                <c:formatCode>General</c:formatCode>
                <c:ptCount val="12"/>
                <c:pt idx="0">
                  <c:v>152</c:v>
                </c:pt>
                <c:pt idx="1">
                  <c:v>109</c:v>
                </c:pt>
                <c:pt idx="2">
                  <c:v>152</c:v>
                </c:pt>
                <c:pt idx="3">
                  <c:v>130</c:v>
                </c:pt>
                <c:pt idx="4">
                  <c:v>114</c:v>
                </c:pt>
                <c:pt idx="5">
                  <c:v>127</c:v>
                </c:pt>
                <c:pt idx="6">
                  <c:v>170</c:v>
                </c:pt>
                <c:pt idx="7">
                  <c:v>147</c:v>
                </c:pt>
                <c:pt idx="8">
                  <c:v>147</c:v>
                </c:pt>
                <c:pt idx="9">
                  <c:v>176</c:v>
                </c:pt>
                <c:pt idx="10">
                  <c:v>120</c:v>
                </c:pt>
                <c:pt idx="11">
                  <c:v>171</c:v>
                </c:pt>
              </c:numCache>
            </c:numRef>
          </c:val>
        </c:ser>
        <c:gapWidth val="60"/>
        <c:overlap val="0"/>
        <c:axId val="98260963"/>
        <c:axId val="10146781"/>
      </c:barChart>
      <c:catAx>
        <c:axId val="98260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46781"/>
        <c:crosses val="autoZero"/>
        <c:auto val="1"/>
        <c:lblAlgn val="ctr"/>
        <c:lblOffset val="100"/>
        <c:noMultiLvlLbl val="0"/>
      </c:catAx>
      <c:valAx>
        <c:axId val="10146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60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Summary'!O4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Summary'!$N$5:$N$14</c:f>
              <c:strCache>
                <c:ptCount val="10"/>
                <c:pt idx="0">
                  <c:v>Smartphone 5G</c:v>
                </c:pt>
                <c:pt idx="1">
                  <c:v>27-inch Monitor</c:v>
                </c:pt>
                <c:pt idx="2">
                  <c:v>Noise-Cancelling Headphones</c:v>
                </c:pt>
                <c:pt idx="3">
                  <c:v>Smart Watch</c:v>
                </c:pt>
                <c:pt idx="4">
                  <c:v>Ergonomic Office Chair</c:v>
                </c:pt>
                <c:pt idx="5">
                  <c:v>Tablet 10-inch</c:v>
                </c:pt>
                <c:pt idx="6">
                  <c:v>External SSD 1TB</c:v>
                </c:pt>
                <c:pt idx="7">
                  <c:v>Mechanical Keyboard</c:v>
                </c:pt>
                <c:pt idx="8">
                  <c:v>Bluetooth Speaker</c:v>
                </c:pt>
                <c:pt idx="9">
                  <c:v>Laser Printer</c:v>
                </c:pt>
              </c:strCache>
            </c:strRef>
          </c:cat>
          <c:val>
            <c:numRef>
              <c:f>'Product Summary'!$O$5:$O$14</c:f>
              <c:numCache>
                <c:formatCode>[&gt;=10000000]\₹##\,##\,##\,##0;[&gt;=100000]\₹##\,##\,##0;\₹##,##0</c:formatCode>
                <c:ptCount val="10"/>
                <c:pt idx="0">
                  <c:v>1277725</c:v>
                </c:pt>
                <c:pt idx="1">
                  <c:v>601865</c:v>
                </c:pt>
                <c:pt idx="2">
                  <c:v>600900</c:v>
                </c:pt>
                <c:pt idx="3">
                  <c:v>555090</c:v>
                </c:pt>
                <c:pt idx="4">
                  <c:v>486925</c:v>
                </c:pt>
                <c:pt idx="5">
                  <c:v>458970</c:v>
                </c:pt>
                <c:pt idx="6">
                  <c:v>429325</c:v>
                </c:pt>
                <c:pt idx="7">
                  <c:v>414900</c:v>
                </c:pt>
                <c:pt idx="8">
                  <c:v>386385</c:v>
                </c:pt>
                <c:pt idx="9">
                  <c:v>340640</c:v>
                </c:pt>
              </c:numCache>
            </c:numRef>
          </c:val>
        </c:ser>
        <c:gapWidth val="50"/>
        <c:overlap val="0"/>
        <c:axId val="68425446"/>
        <c:axId val="22587646"/>
      </c:barChart>
      <c:catAx>
        <c:axId val="684254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87646"/>
        <c:crosses val="autoZero"/>
        <c:auto val="1"/>
        <c:lblAlgn val="ctr"/>
        <c:lblOffset val="100"/>
        <c:noMultiLvlLbl val="0"/>
      </c:catAx>
      <c:valAx>
        <c:axId val="22587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2544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Month-wise Profit Analysis (Profit &amp; Margin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Summary'!E4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'Monthly Summary'!$E$5:$E$16</c:f>
              <c:numCache>
                <c:formatCode>[&gt;=10000000]\₹##\,##\,##\,##0;[&gt;=100000]\₹##\,##\,##0;\₹##,##0</c:formatCode>
                <c:ptCount val="12"/>
                <c:pt idx="0">
                  <c:v>154284.6</c:v>
                </c:pt>
                <c:pt idx="1">
                  <c:v>105710.1</c:v>
                </c:pt>
                <c:pt idx="2">
                  <c:v>129073.35</c:v>
                </c:pt>
                <c:pt idx="3">
                  <c:v>136316.15</c:v>
                </c:pt>
                <c:pt idx="4">
                  <c:v>99532.15</c:v>
                </c:pt>
                <c:pt idx="5">
                  <c:v>112469.9</c:v>
                </c:pt>
                <c:pt idx="6">
                  <c:v>163684.4</c:v>
                </c:pt>
                <c:pt idx="7">
                  <c:v>131575.95</c:v>
                </c:pt>
                <c:pt idx="8">
                  <c:v>136582.7</c:v>
                </c:pt>
                <c:pt idx="9">
                  <c:v>162907.15</c:v>
                </c:pt>
                <c:pt idx="10">
                  <c:v>150894.5</c:v>
                </c:pt>
                <c:pt idx="11">
                  <c:v>169539.55</c:v>
                </c:pt>
              </c:numCache>
            </c:numRef>
          </c:val>
        </c:ser>
        <c:gapWidth val="60"/>
        <c:overlap val="0"/>
        <c:axId val="82227053"/>
        <c:axId val="3722328"/>
      </c:barChart>
      <c:lineChart>
        <c:grouping val="standard"/>
        <c:varyColors val="0"/>
        <c:ser>
          <c:idx val="1"/>
          <c:order val="1"/>
          <c:tx>
            <c:strRef>
              <c:f>'Monthly Summary'!F4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circle"/>
            <c:size val="7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'Monthly Summary'!$F$5:$F$16</c:f>
              <c:numCache>
                <c:formatCode>0.0%</c:formatCode>
                <c:ptCount val="12"/>
                <c:pt idx="0">
                  <c:v>0.196991336878595</c:v>
                </c:pt>
                <c:pt idx="1">
                  <c:v>0.219762379942622</c:v>
                </c:pt>
                <c:pt idx="2">
                  <c:v>0.225506839981131</c:v>
                </c:pt>
                <c:pt idx="3">
                  <c:v>0.216777427921696</c:v>
                </c:pt>
                <c:pt idx="4">
                  <c:v>0.21317659027629</c:v>
                </c:pt>
                <c:pt idx="5">
                  <c:v>0.202959307046828</c:v>
                </c:pt>
                <c:pt idx="6">
                  <c:v>0.197773656261516</c:v>
                </c:pt>
                <c:pt idx="7">
                  <c:v>0.227862789751227</c:v>
                </c:pt>
                <c:pt idx="8">
                  <c:v>0.193838806732707</c:v>
                </c:pt>
                <c:pt idx="9">
                  <c:v>0.214392416974291</c:v>
                </c:pt>
                <c:pt idx="10">
                  <c:v>0.190760605045416</c:v>
                </c:pt>
                <c:pt idx="11">
                  <c:v>0.205918064943188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722475"/>
        <c:axId val="5392744"/>
      </c:lineChart>
      <c:catAx>
        <c:axId val="82227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2328"/>
        <c:crosses val="autoZero"/>
        <c:auto val="1"/>
        <c:lblAlgn val="ctr"/>
        <c:lblOffset val="100"/>
        <c:noMultiLvlLbl val="0"/>
      </c:catAx>
      <c:valAx>
        <c:axId val="3722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27053"/>
        <c:crosses val="autoZero"/>
        <c:crossBetween val="between"/>
      </c:valAx>
      <c:catAx>
        <c:axId val="8472247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2744"/>
        <c:crosses val="autoZero"/>
        <c:auto val="1"/>
        <c:lblAlgn val="ctr"/>
        <c:lblOffset val="100"/>
        <c:noMultiLvlLbl val="0"/>
      </c:catAx>
      <c:valAx>
        <c:axId val="539274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247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Revenue (all products, 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Summary'!O4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3a6ea5"/>
            </a:solidFill>
            <a:ln w="0">
              <a:solidFill>
                <a:srgbClr val="3a6ea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Summary'!$N$5:$N$24</c:f>
              <c:strCache>
                <c:ptCount val="20"/>
                <c:pt idx="0">
                  <c:v>Smartphone 5G</c:v>
                </c:pt>
                <c:pt idx="1">
                  <c:v>27-inch Monitor</c:v>
                </c:pt>
                <c:pt idx="2">
                  <c:v>Noise-Cancelling Headphones</c:v>
                </c:pt>
                <c:pt idx="3">
                  <c:v>Smart Watch</c:v>
                </c:pt>
                <c:pt idx="4">
                  <c:v>Ergonomic Office Chair</c:v>
                </c:pt>
                <c:pt idx="5">
                  <c:v>Tablet 10-inch</c:v>
                </c:pt>
                <c:pt idx="6">
                  <c:v>External SSD 1TB</c:v>
                </c:pt>
                <c:pt idx="7">
                  <c:v>Mechanical Keyboard</c:v>
                </c:pt>
                <c:pt idx="8">
                  <c:v>Bluetooth Speaker</c:v>
                </c:pt>
                <c:pt idx="9">
                  <c:v>Laser Printer</c:v>
                </c:pt>
                <c:pt idx="10">
                  <c:v>Power Bank 20000mAh</c:v>
                </c:pt>
                <c:pt idx="11">
                  <c:v>Standing Desk</c:v>
                </c:pt>
                <c:pt idx="12">
                  <c:v>Laptop Backpack</c:v>
                </c:pt>
                <c:pt idx="13">
                  <c:v>Wi-Fi 6 Router</c:v>
                </c:pt>
                <c:pt idx="14">
                  <c:v>Webcam Full HD</c:v>
                </c:pt>
                <c:pt idx="15">
                  <c:v>USB-C Hub 7-in-1</c:v>
                </c:pt>
                <c:pt idx="16">
                  <c:v>Air Purifier</c:v>
                </c:pt>
                <c:pt idx="17">
                  <c:v>Wireless Mouse</c:v>
                </c:pt>
                <c:pt idx="18">
                  <c:v>Fitness Band</c:v>
                </c:pt>
                <c:pt idx="19">
                  <c:v>LED Desk Lamp</c:v>
                </c:pt>
              </c:strCache>
            </c:strRef>
          </c:cat>
          <c:val>
            <c:numRef>
              <c:f>'Product Summary'!$O$5:$O$24</c:f>
              <c:numCache>
                <c:formatCode>[&gt;=10000000]\₹##\,##\,##\,##0;[&gt;=100000]\₹##\,##\,##0;\₹##,##0</c:formatCode>
                <c:ptCount val="20"/>
                <c:pt idx="0">
                  <c:v>1277725</c:v>
                </c:pt>
                <c:pt idx="1">
                  <c:v>601865</c:v>
                </c:pt>
                <c:pt idx="2">
                  <c:v>600900</c:v>
                </c:pt>
                <c:pt idx="3">
                  <c:v>555090</c:v>
                </c:pt>
                <c:pt idx="4">
                  <c:v>486925</c:v>
                </c:pt>
                <c:pt idx="5">
                  <c:v>458970</c:v>
                </c:pt>
                <c:pt idx="6">
                  <c:v>429325</c:v>
                </c:pt>
                <c:pt idx="7">
                  <c:v>414900</c:v>
                </c:pt>
                <c:pt idx="8">
                  <c:v>386385</c:v>
                </c:pt>
                <c:pt idx="9">
                  <c:v>340640</c:v>
                </c:pt>
                <c:pt idx="10">
                  <c:v>339755</c:v>
                </c:pt>
                <c:pt idx="11">
                  <c:v>339210</c:v>
                </c:pt>
                <c:pt idx="12">
                  <c:v>285110</c:v>
                </c:pt>
                <c:pt idx="13">
                  <c:v>268770</c:v>
                </c:pt>
                <c:pt idx="14">
                  <c:v>247085</c:v>
                </c:pt>
                <c:pt idx="15">
                  <c:v>199305</c:v>
                </c:pt>
                <c:pt idx="16">
                  <c:v>198935</c:v>
                </c:pt>
                <c:pt idx="17">
                  <c:v>198040</c:v>
                </c:pt>
                <c:pt idx="18">
                  <c:v>182220</c:v>
                </c:pt>
                <c:pt idx="19">
                  <c:v>159215</c:v>
                </c:pt>
              </c:numCache>
            </c:numRef>
          </c:val>
        </c:ser>
        <c:gapWidth val="40"/>
        <c:overlap val="0"/>
        <c:axId val="991238"/>
        <c:axId val="43857530"/>
      </c:barChart>
      <c:catAx>
        <c:axId val="99123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57530"/>
        <c:crosses val="autoZero"/>
        <c:auto val="1"/>
        <c:lblAlgn val="ctr"/>
        <c:lblOffset val="100"/>
        <c:noMultiLvlLbl val="0"/>
      </c:catAx>
      <c:valAx>
        <c:axId val="43857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23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Profit (same ranking as 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Summary'!P4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Summary'!$N$5:$N$24</c:f>
              <c:strCache>
                <c:ptCount val="20"/>
                <c:pt idx="0">
                  <c:v>Smartphone 5G</c:v>
                </c:pt>
                <c:pt idx="1">
                  <c:v>27-inch Monitor</c:v>
                </c:pt>
                <c:pt idx="2">
                  <c:v>Noise-Cancelling Headphones</c:v>
                </c:pt>
                <c:pt idx="3">
                  <c:v>Smart Watch</c:v>
                </c:pt>
                <c:pt idx="4">
                  <c:v>Ergonomic Office Chair</c:v>
                </c:pt>
                <c:pt idx="5">
                  <c:v>Tablet 10-inch</c:v>
                </c:pt>
                <c:pt idx="6">
                  <c:v>External SSD 1TB</c:v>
                </c:pt>
                <c:pt idx="7">
                  <c:v>Mechanical Keyboard</c:v>
                </c:pt>
                <c:pt idx="8">
                  <c:v>Bluetooth Speaker</c:v>
                </c:pt>
                <c:pt idx="9">
                  <c:v>Laser Printer</c:v>
                </c:pt>
                <c:pt idx="10">
                  <c:v>Power Bank 20000mAh</c:v>
                </c:pt>
                <c:pt idx="11">
                  <c:v>Standing Desk</c:v>
                </c:pt>
                <c:pt idx="12">
                  <c:v>Laptop Backpack</c:v>
                </c:pt>
                <c:pt idx="13">
                  <c:v>Wi-Fi 6 Router</c:v>
                </c:pt>
                <c:pt idx="14">
                  <c:v>Webcam Full HD</c:v>
                </c:pt>
                <c:pt idx="15">
                  <c:v>USB-C Hub 7-in-1</c:v>
                </c:pt>
                <c:pt idx="16">
                  <c:v>Air Purifier</c:v>
                </c:pt>
                <c:pt idx="17">
                  <c:v>Wireless Mouse</c:v>
                </c:pt>
                <c:pt idx="18">
                  <c:v>Fitness Band</c:v>
                </c:pt>
                <c:pt idx="19">
                  <c:v>LED Desk Lamp</c:v>
                </c:pt>
              </c:strCache>
            </c:strRef>
          </c:cat>
          <c:val>
            <c:numRef>
              <c:f>'Product Summary'!$P$5:$P$24</c:f>
              <c:numCache>
                <c:formatCode>[&gt;=10000000]\₹##\,##\,##\,##0;[&gt;=100000]\₹##\,##\,##0;\₹##,##0</c:formatCode>
                <c:ptCount val="20"/>
                <c:pt idx="0">
                  <c:v>127772.5</c:v>
                </c:pt>
                <c:pt idx="1">
                  <c:v>90279.75</c:v>
                </c:pt>
                <c:pt idx="2">
                  <c:v>144216</c:v>
                </c:pt>
                <c:pt idx="3">
                  <c:v>122119.8</c:v>
                </c:pt>
                <c:pt idx="4">
                  <c:v>97385</c:v>
                </c:pt>
                <c:pt idx="5">
                  <c:v>55076.4</c:v>
                </c:pt>
                <c:pt idx="6">
                  <c:v>77278.5</c:v>
                </c:pt>
                <c:pt idx="7">
                  <c:v>116172</c:v>
                </c:pt>
                <c:pt idx="8">
                  <c:v>112051.65</c:v>
                </c:pt>
                <c:pt idx="9">
                  <c:v>54502.4</c:v>
                </c:pt>
                <c:pt idx="10">
                  <c:v>91733.85</c:v>
                </c:pt>
                <c:pt idx="11">
                  <c:v>64449.9</c:v>
                </c:pt>
                <c:pt idx="12">
                  <c:v>99788.5</c:v>
                </c:pt>
                <c:pt idx="13">
                  <c:v>64504.8</c:v>
                </c:pt>
                <c:pt idx="14">
                  <c:v>64242.1</c:v>
                </c:pt>
                <c:pt idx="15">
                  <c:v>59791.5</c:v>
                </c:pt>
                <c:pt idx="16">
                  <c:v>41776.35</c:v>
                </c:pt>
                <c:pt idx="17">
                  <c:v>63372.8</c:v>
                </c:pt>
                <c:pt idx="18">
                  <c:v>45555</c:v>
                </c:pt>
                <c:pt idx="19">
                  <c:v>60501.7</c:v>
                </c:pt>
              </c:numCache>
            </c:numRef>
          </c:val>
        </c:ser>
        <c:gapWidth val="40"/>
        <c:overlap val="0"/>
        <c:axId val="8979066"/>
        <c:axId val="73632680"/>
      </c:barChart>
      <c:catAx>
        <c:axId val="897906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32680"/>
        <c:crosses val="autoZero"/>
        <c:auto val="1"/>
        <c:lblAlgn val="ctr"/>
        <c:lblOffset val="100"/>
        <c:noMultiLvlLbl val="0"/>
      </c:catAx>
      <c:valAx>
        <c:axId val="73632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906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13</xdr:col>
      <xdr:colOff>181080</xdr:colOff>
      <xdr:row>26</xdr:row>
      <xdr:rowOff>47520</xdr:rowOff>
    </xdr:to>
    <xdr:graphicFrame>
      <xdr:nvGraphicFramePr>
        <xdr:cNvPr id="0" name="Chart 1"/>
        <xdr:cNvGraphicFramePr/>
      </xdr:nvGraphicFramePr>
      <xdr:xfrm>
        <a:off x="141120" y="2428920"/>
        <a:ext cx="69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</xdr:row>
      <xdr:rowOff>0</xdr:rowOff>
    </xdr:from>
    <xdr:to>
      <xdr:col>26</xdr:col>
      <xdr:colOff>40320</xdr:colOff>
      <xdr:row>26</xdr:row>
      <xdr:rowOff>47520</xdr:rowOff>
    </xdr:to>
    <xdr:graphicFrame>
      <xdr:nvGraphicFramePr>
        <xdr:cNvPr id="1" name="Chart 2"/>
        <xdr:cNvGraphicFramePr/>
      </xdr:nvGraphicFramePr>
      <xdr:xfrm>
        <a:off x="6907680" y="2428920"/>
        <a:ext cx="69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13</xdr:col>
      <xdr:colOff>181080</xdr:colOff>
      <xdr:row>44</xdr:row>
      <xdr:rowOff>47520</xdr:rowOff>
    </xdr:to>
    <xdr:graphicFrame>
      <xdr:nvGraphicFramePr>
        <xdr:cNvPr id="2" name="Chart 3"/>
        <xdr:cNvGraphicFramePr/>
      </xdr:nvGraphicFramePr>
      <xdr:xfrm>
        <a:off x="141120" y="5857920"/>
        <a:ext cx="69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28</xdr:row>
      <xdr:rowOff>0</xdr:rowOff>
    </xdr:from>
    <xdr:to>
      <xdr:col>26</xdr:col>
      <xdr:colOff>40320</xdr:colOff>
      <xdr:row>44</xdr:row>
      <xdr:rowOff>47520</xdr:rowOff>
    </xdr:to>
    <xdr:graphicFrame>
      <xdr:nvGraphicFramePr>
        <xdr:cNvPr id="3" name="Chart 4"/>
        <xdr:cNvGraphicFramePr/>
      </xdr:nvGraphicFramePr>
      <xdr:xfrm>
        <a:off x="6907680" y="5857920"/>
        <a:ext cx="69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13</xdr:col>
      <xdr:colOff>181080</xdr:colOff>
      <xdr:row>67</xdr:row>
      <xdr:rowOff>31320</xdr:rowOff>
    </xdr:to>
    <xdr:graphicFrame>
      <xdr:nvGraphicFramePr>
        <xdr:cNvPr id="4" name="Chart 5"/>
        <xdr:cNvGraphicFramePr/>
      </xdr:nvGraphicFramePr>
      <xdr:xfrm>
        <a:off x="141120" y="9286920"/>
        <a:ext cx="6947640" cy="40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46</xdr:row>
      <xdr:rowOff>0</xdr:rowOff>
    </xdr:from>
    <xdr:to>
      <xdr:col>26</xdr:col>
      <xdr:colOff>40320</xdr:colOff>
      <xdr:row>67</xdr:row>
      <xdr:rowOff>31320</xdr:rowOff>
    </xdr:to>
    <xdr:graphicFrame>
      <xdr:nvGraphicFramePr>
        <xdr:cNvPr id="5" name="Chart 6"/>
        <xdr:cNvGraphicFramePr/>
      </xdr:nvGraphicFramePr>
      <xdr:xfrm>
        <a:off x="6907680" y="9286920"/>
        <a:ext cx="6947640" cy="40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J501" headerRowCount="1" totalsRowCount="0" totalsRowShown="0">
  <autoFilter ref="A1:J501"/>
  <tableColumns count="10">
    <tableColumn id="1" name="Serial No"/>
    <tableColumn id="2" name="Product Name"/>
    <tableColumn id="3" name="Sale Price"/>
    <tableColumn id="4" name="Sale Date"/>
    <tableColumn id="5" name="Customer Name"/>
    <tableColumn id="6" name="Month"/>
    <tableColumn id="7" name="ProductID"/>
    <tableColumn id="8" name="Sale Quantity"/>
    <tableColumn id="9" name="Profit"/>
    <tableColumn id="10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4" t="n">
        <v>16680</v>
      </c>
      <c r="D2" s="5" t="n">
        <v>45965</v>
      </c>
      <c r="E2" s="3" t="s">
        <v>11</v>
      </c>
      <c r="F2" s="2" t="str">
        <f aca="false">TEXT(D2,"mmmm")</f>
        <v>November</v>
      </c>
      <c r="G2" s="2" t="str">
        <f aca="false">INDEX('Product Summary'!$A$5:$A$24,MATCH(B2,'Product Summary'!$B$5:$B$24,0))</f>
        <v>PRD-1011</v>
      </c>
      <c r="H2" s="2" t="n">
        <v>3</v>
      </c>
      <c r="I2" s="6" t="n">
        <f aca="false">ROUND(J2*INDEX('Product Summary'!$E$5:$E$24,MATCH(B2,'Product Summary'!$B$5:$B$24,0)),2)</f>
        <v>7506</v>
      </c>
      <c r="J2" s="6" t="n">
        <f aca="false">C2*H2</f>
        <v>50040</v>
      </c>
    </row>
    <row r="3" customFormat="false" ht="15" hidden="false" customHeight="false" outlineLevel="0" collapsed="false">
      <c r="A3" s="2" t="n">
        <v>2</v>
      </c>
      <c r="B3" s="3" t="s">
        <v>12</v>
      </c>
      <c r="C3" s="4" t="n">
        <v>805</v>
      </c>
      <c r="D3" s="5" t="n">
        <v>45965</v>
      </c>
      <c r="E3" s="3" t="s">
        <v>13</v>
      </c>
      <c r="F3" s="2" t="str">
        <f aca="false">TEXT(D3,"mmmm")</f>
        <v>November</v>
      </c>
      <c r="G3" s="2" t="str">
        <f aca="false">INDEX('Product Summary'!$A$5:$A$24,MATCH(B3,'Product Summary'!$B$5:$B$24,0))</f>
        <v>PRD-1001</v>
      </c>
      <c r="H3" s="2" t="n">
        <v>4</v>
      </c>
      <c r="I3" s="6" t="n">
        <f aca="false">ROUND(J3*INDEX('Product Summary'!$E$5:$E$24,MATCH(B3,'Product Summary'!$B$5:$B$24,0)),2)</f>
        <v>1030.4</v>
      </c>
      <c r="J3" s="6" t="n">
        <f aca="false">C3*H3</f>
        <v>3220</v>
      </c>
    </row>
    <row r="4" customFormat="false" ht="15" hidden="false" customHeight="false" outlineLevel="0" collapsed="false">
      <c r="A4" s="2" t="n">
        <v>3</v>
      </c>
      <c r="B4" s="3" t="s">
        <v>14</v>
      </c>
      <c r="C4" s="4" t="n">
        <v>2885</v>
      </c>
      <c r="D4" s="5" t="n">
        <v>45966</v>
      </c>
      <c r="E4" s="3" t="s">
        <v>15</v>
      </c>
      <c r="F4" s="2" t="str">
        <f aca="false">TEXT(D4,"mmmm")</f>
        <v>November</v>
      </c>
      <c r="G4" s="2" t="str">
        <f aca="false">INDEX('Product Summary'!$A$5:$A$24,MATCH(B4,'Product Summary'!$B$5:$B$24,0))</f>
        <v>PRD-1005</v>
      </c>
      <c r="H4" s="2" t="n">
        <v>5</v>
      </c>
      <c r="I4" s="6" t="n">
        <f aca="false">ROUND(J4*INDEX('Product Summary'!$E$5:$E$24,MATCH(B4,'Product Summary'!$B$5:$B$24,0)),2)</f>
        <v>3750.5</v>
      </c>
      <c r="J4" s="6" t="n">
        <f aca="false">C4*H4</f>
        <v>14425</v>
      </c>
    </row>
    <row r="5" customFormat="false" ht="15" hidden="false" customHeight="false" outlineLevel="0" collapsed="false">
      <c r="A5" s="2" t="n">
        <v>4</v>
      </c>
      <c r="B5" s="3" t="s">
        <v>10</v>
      </c>
      <c r="C5" s="4" t="n">
        <v>16440</v>
      </c>
      <c r="D5" s="5" t="n">
        <v>45966</v>
      </c>
      <c r="E5" s="3" t="s">
        <v>16</v>
      </c>
      <c r="F5" s="2" t="str">
        <f aca="false">TEXT(D5,"mmmm")</f>
        <v>November</v>
      </c>
      <c r="G5" s="2" t="str">
        <f aca="false">INDEX('Product Summary'!$A$5:$A$24,MATCH(B5,'Product Summary'!$B$5:$B$24,0))</f>
        <v>PRD-1011</v>
      </c>
      <c r="H5" s="2" t="n">
        <v>3</v>
      </c>
      <c r="I5" s="6" t="n">
        <f aca="false">ROUND(J5*INDEX('Product Summary'!$E$5:$E$24,MATCH(B5,'Product Summary'!$B$5:$B$24,0)),2)</f>
        <v>7398</v>
      </c>
      <c r="J5" s="6" t="n">
        <f aca="false">C5*H5</f>
        <v>49320</v>
      </c>
    </row>
    <row r="6" customFormat="false" ht="15" hidden="false" customHeight="false" outlineLevel="0" collapsed="false">
      <c r="A6" s="2" t="n">
        <v>5</v>
      </c>
      <c r="B6" s="3" t="s">
        <v>10</v>
      </c>
      <c r="C6" s="4" t="n">
        <v>17645</v>
      </c>
      <c r="D6" s="5" t="n">
        <v>45967</v>
      </c>
      <c r="E6" s="3" t="s">
        <v>17</v>
      </c>
      <c r="F6" s="2" t="str">
        <f aca="false">TEXT(D6,"mmmm")</f>
        <v>November</v>
      </c>
      <c r="G6" s="2" t="str">
        <f aca="false">INDEX('Product Summary'!$A$5:$A$24,MATCH(B6,'Product Summary'!$B$5:$B$24,0))</f>
        <v>PRD-1011</v>
      </c>
      <c r="H6" s="2" t="n">
        <v>1</v>
      </c>
      <c r="I6" s="6" t="n">
        <f aca="false">ROUND(J6*INDEX('Product Summary'!$E$5:$E$24,MATCH(B6,'Product Summary'!$B$5:$B$24,0)),2)</f>
        <v>2646.75</v>
      </c>
      <c r="J6" s="6" t="n">
        <f aca="false">C6*H6</f>
        <v>17645</v>
      </c>
    </row>
    <row r="7" customFormat="false" ht="15" hidden="false" customHeight="false" outlineLevel="0" collapsed="false">
      <c r="A7" s="2" t="n">
        <v>6</v>
      </c>
      <c r="B7" s="3" t="s">
        <v>18</v>
      </c>
      <c r="C7" s="4" t="n">
        <v>1685</v>
      </c>
      <c r="D7" s="5" t="n">
        <v>45968</v>
      </c>
      <c r="E7" s="3" t="s">
        <v>19</v>
      </c>
      <c r="F7" s="2" t="str">
        <f aca="false">TEXT(D7,"mmmm")</f>
        <v>November</v>
      </c>
      <c r="G7" s="2" t="str">
        <f aca="false">INDEX('Product Summary'!$A$5:$A$24,MATCH(B7,'Product Summary'!$B$5:$B$24,0))</f>
        <v>PRD-1003</v>
      </c>
      <c r="H7" s="2" t="n">
        <v>8</v>
      </c>
      <c r="I7" s="6" t="n">
        <f aca="false">ROUND(J7*INDEX('Product Summary'!$E$5:$E$24,MATCH(B7,'Product Summary'!$B$5:$B$24,0)),2)</f>
        <v>4718</v>
      </c>
      <c r="J7" s="6" t="n">
        <f aca="false">C7*H7</f>
        <v>13480</v>
      </c>
    </row>
    <row r="8" customFormat="false" ht="15" hidden="false" customHeight="false" outlineLevel="0" collapsed="false">
      <c r="A8" s="2" t="n">
        <v>7</v>
      </c>
      <c r="B8" s="3" t="s">
        <v>20</v>
      </c>
      <c r="C8" s="4" t="n">
        <v>19430</v>
      </c>
      <c r="D8" s="5" t="n">
        <v>45970</v>
      </c>
      <c r="E8" s="3" t="s">
        <v>21</v>
      </c>
      <c r="F8" s="2" t="str">
        <f aca="false">TEXT(D8,"mmmm")</f>
        <v>November</v>
      </c>
      <c r="G8" s="2" t="str">
        <f aca="false">INDEX('Product Summary'!$A$5:$A$24,MATCH(B8,'Product Summary'!$B$5:$B$24,0))</f>
        <v>PRD-1019</v>
      </c>
      <c r="H8" s="2" t="n">
        <v>2</v>
      </c>
      <c r="I8" s="6" t="n">
        <f aca="false">ROUND(J8*INDEX('Product Summary'!$E$5:$E$24,MATCH(B8,'Product Summary'!$B$5:$B$24,0)),2)</f>
        <v>4663.2</v>
      </c>
      <c r="J8" s="6" t="n">
        <f aca="false">C8*H8</f>
        <v>38860</v>
      </c>
    </row>
    <row r="9" customFormat="false" ht="15" hidden="false" customHeight="false" outlineLevel="0" collapsed="false">
      <c r="A9" s="2" t="n">
        <v>8</v>
      </c>
      <c r="B9" s="3" t="s">
        <v>22</v>
      </c>
      <c r="C9" s="4" t="n">
        <v>7610</v>
      </c>
      <c r="D9" s="5" t="n">
        <v>45971</v>
      </c>
      <c r="E9" s="3" t="s">
        <v>23</v>
      </c>
      <c r="F9" s="2" t="str">
        <f aca="false">TEXT(D9,"mmmm")</f>
        <v>November</v>
      </c>
      <c r="G9" s="2" t="str">
        <f aca="false">INDEX('Product Summary'!$A$5:$A$24,MATCH(B9,'Product Summary'!$B$5:$B$24,0))</f>
        <v>PRD-1008</v>
      </c>
      <c r="H9" s="2" t="n">
        <v>4</v>
      </c>
      <c r="I9" s="6" t="n">
        <f aca="false">ROUND(J9*INDEX('Product Summary'!$E$5:$E$24,MATCH(B9,'Product Summary'!$B$5:$B$24,0)),2)</f>
        <v>7305.6</v>
      </c>
      <c r="J9" s="6" t="n">
        <f aca="false">C9*H9</f>
        <v>30440</v>
      </c>
    </row>
    <row r="10" customFormat="false" ht="15" hidden="false" customHeight="false" outlineLevel="0" collapsed="false">
      <c r="A10" s="2" t="n">
        <v>9</v>
      </c>
      <c r="B10" s="3" t="s">
        <v>12</v>
      </c>
      <c r="C10" s="4" t="n">
        <v>800</v>
      </c>
      <c r="D10" s="5" t="n">
        <v>45972</v>
      </c>
      <c r="E10" s="3" t="s">
        <v>24</v>
      </c>
      <c r="F10" s="2" t="str">
        <f aca="false">TEXT(D10,"mmmm")</f>
        <v>November</v>
      </c>
      <c r="G10" s="2" t="str">
        <f aca="false">INDEX('Product Summary'!$A$5:$A$24,MATCH(B10,'Product Summary'!$B$5:$B$24,0))</f>
        <v>PRD-1001</v>
      </c>
      <c r="H10" s="2" t="n">
        <v>5</v>
      </c>
      <c r="I10" s="6" t="n">
        <f aca="false">ROUND(J10*INDEX('Product Summary'!$E$5:$E$24,MATCH(B10,'Product Summary'!$B$5:$B$24,0)),2)</f>
        <v>1280</v>
      </c>
      <c r="J10" s="6" t="n">
        <f aca="false">C10*H10</f>
        <v>4000</v>
      </c>
    </row>
    <row r="11" customFormat="false" ht="15" hidden="false" customHeight="false" outlineLevel="0" collapsed="false">
      <c r="A11" s="2" t="n">
        <v>10</v>
      </c>
      <c r="B11" s="3" t="s">
        <v>25</v>
      </c>
      <c r="C11" s="4" t="n">
        <v>19320</v>
      </c>
      <c r="D11" s="5" t="n">
        <v>45973</v>
      </c>
      <c r="E11" s="3" t="s">
        <v>26</v>
      </c>
      <c r="F11" s="2" t="str">
        <f aca="false">TEXT(D11,"mmmm")</f>
        <v>November</v>
      </c>
      <c r="G11" s="2" t="str">
        <f aca="false">INDEX('Product Summary'!$A$5:$A$24,MATCH(B11,'Product Summary'!$B$5:$B$24,0))</f>
        <v>PRD-1016</v>
      </c>
      <c r="H11" s="2" t="n">
        <v>1</v>
      </c>
      <c r="I11" s="6" t="n">
        <f aca="false">ROUND(J11*INDEX('Product Summary'!$E$5:$E$24,MATCH(B11,'Product Summary'!$B$5:$B$24,0)),2)</f>
        <v>3670.8</v>
      </c>
      <c r="J11" s="6" t="n">
        <f aca="false">C11*H11</f>
        <v>19320</v>
      </c>
    </row>
    <row r="12" customFormat="false" ht="15" hidden="false" customHeight="false" outlineLevel="0" collapsed="false">
      <c r="A12" s="2" t="n">
        <v>11</v>
      </c>
      <c r="B12" s="3" t="s">
        <v>27</v>
      </c>
      <c r="C12" s="4" t="n">
        <v>2140</v>
      </c>
      <c r="D12" s="5" t="n">
        <v>45973</v>
      </c>
      <c r="E12" s="3" t="s">
        <v>28</v>
      </c>
      <c r="F12" s="2" t="str">
        <f aca="false">TEXT(D12,"mmmm")</f>
        <v>November</v>
      </c>
      <c r="G12" s="2" t="str">
        <f aca="false">INDEX('Product Summary'!$A$5:$A$24,MATCH(B12,'Product Summary'!$B$5:$B$24,0))</f>
        <v>PRD-1004</v>
      </c>
      <c r="H12" s="2" t="n">
        <v>1</v>
      </c>
      <c r="I12" s="6" t="n">
        <f aca="false">ROUND(J12*INDEX('Product Summary'!$E$5:$E$24,MATCH(B12,'Product Summary'!$B$5:$B$24,0)),2)</f>
        <v>642</v>
      </c>
      <c r="J12" s="6" t="n">
        <f aca="false">C12*H12</f>
        <v>2140</v>
      </c>
    </row>
    <row r="13" customFormat="false" ht="15" hidden="false" customHeight="false" outlineLevel="0" collapsed="false">
      <c r="A13" s="2" t="n">
        <v>12</v>
      </c>
      <c r="B13" s="3" t="s">
        <v>29</v>
      </c>
      <c r="C13" s="4" t="n">
        <v>10475</v>
      </c>
      <c r="D13" s="5" t="n">
        <v>45974</v>
      </c>
      <c r="E13" s="3" t="s">
        <v>30</v>
      </c>
      <c r="F13" s="2" t="str">
        <f aca="false">TEXT(D13,"mmmm")</f>
        <v>November</v>
      </c>
      <c r="G13" s="2" t="str">
        <f aca="false">INDEX('Product Summary'!$A$5:$A$24,MATCH(B13,'Product Summary'!$B$5:$B$24,0))</f>
        <v>PRD-1018</v>
      </c>
      <c r="H13" s="2" t="n">
        <v>3</v>
      </c>
      <c r="I13" s="6" t="n">
        <f aca="false">ROUND(J13*INDEX('Product Summary'!$E$5:$E$24,MATCH(B13,'Product Summary'!$B$5:$B$24,0)),2)</f>
        <v>6599.25</v>
      </c>
      <c r="J13" s="6" t="n">
        <f aca="false">C13*H13</f>
        <v>31425</v>
      </c>
    </row>
    <row r="14" customFormat="false" ht="15" hidden="false" customHeight="false" outlineLevel="0" collapsed="false">
      <c r="A14" s="2" t="n">
        <v>13</v>
      </c>
      <c r="B14" s="3" t="s">
        <v>31</v>
      </c>
      <c r="C14" s="4" t="n">
        <v>24550</v>
      </c>
      <c r="D14" s="5" t="n">
        <v>45974</v>
      </c>
      <c r="E14" s="3" t="s">
        <v>23</v>
      </c>
      <c r="F14" s="2" t="str">
        <f aca="false">TEXT(D14,"mmmm")</f>
        <v>November</v>
      </c>
      <c r="G14" s="2" t="str">
        <f aca="false">INDEX('Product Summary'!$A$5:$A$24,MATCH(B14,'Product Summary'!$B$5:$B$24,0))</f>
        <v>PRD-1020</v>
      </c>
      <c r="H14" s="2" t="n">
        <v>1</v>
      </c>
      <c r="I14" s="6" t="n">
        <f aca="false">ROUND(J14*INDEX('Product Summary'!$E$5:$E$24,MATCH(B14,'Product Summary'!$B$5:$B$24,0)),2)</f>
        <v>2455</v>
      </c>
      <c r="J14" s="6" t="n">
        <f aca="false">C14*H14</f>
        <v>24550</v>
      </c>
    </row>
    <row r="15" customFormat="false" ht="15" hidden="false" customHeight="false" outlineLevel="0" collapsed="false">
      <c r="A15" s="2" t="n">
        <v>14</v>
      </c>
      <c r="B15" s="3" t="s">
        <v>27</v>
      </c>
      <c r="C15" s="4" t="n">
        <v>2220</v>
      </c>
      <c r="D15" s="5" t="n">
        <v>45974</v>
      </c>
      <c r="E15" s="3" t="s">
        <v>32</v>
      </c>
      <c r="F15" s="2" t="str">
        <f aca="false">TEXT(D15,"mmmm")</f>
        <v>November</v>
      </c>
      <c r="G15" s="2" t="str">
        <f aca="false">INDEX('Product Summary'!$A$5:$A$24,MATCH(B15,'Product Summary'!$B$5:$B$24,0))</f>
        <v>PRD-1004</v>
      </c>
      <c r="H15" s="2" t="n">
        <v>4</v>
      </c>
      <c r="I15" s="6" t="n">
        <f aca="false">ROUND(J15*INDEX('Product Summary'!$E$5:$E$24,MATCH(B15,'Product Summary'!$B$5:$B$24,0)),2)</f>
        <v>2664</v>
      </c>
      <c r="J15" s="6" t="n">
        <f aca="false">C15*H15</f>
        <v>8880</v>
      </c>
    </row>
    <row r="16" customFormat="false" ht="15" hidden="false" customHeight="false" outlineLevel="0" collapsed="false">
      <c r="A16" s="2" t="n">
        <v>15</v>
      </c>
      <c r="B16" s="3" t="s">
        <v>12</v>
      </c>
      <c r="C16" s="4" t="n">
        <v>840</v>
      </c>
      <c r="D16" s="5" t="n">
        <v>45974</v>
      </c>
      <c r="E16" s="3" t="s">
        <v>33</v>
      </c>
      <c r="F16" s="2" t="str">
        <f aca="false">TEXT(D16,"mmmm")</f>
        <v>November</v>
      </c>
      <c r="G16" s="2" t="str">
        <f aca="false">INDEX('Product Summary'!$A$5:$A$24,MATCH(B16,'Product Summary'!$B$5:$B$24,0))</f>
        <v>PRD-1001</v>
      </c>
      <c r="H16" s="2" t="n">
        <v>1</v>
      </c>
      <c r="I16" s="6" t="n">
        <f aca="false">ROUND(J16*INDEX('Product Summary'!$E$5:$E$24,MATCH(B16,'Product Summary'!$B$5:$B$24,0)),2)</f>
        <v>268.8</v>
      </c>
      <c r="J16" s="6" t="n">
        <f aca="false">C16*H16</f>
        <v>840</v>
      </c>
    </row>
    <row r="17" customFormat="false" ht="15" hidden="false" customHeight="false" outlineLevel="0" collapsed="false">
      <c r="A17" s="2" t="n">
        <v>16</v>
      </c>
      <c r="B17" s="3" t="s">
        <v>34</v>
      </c>
      <c r="C17" s="4" t="n">
        <v>1880</v>
      </c>
      <c r="D17" s="5" t="n">
        <v>45975</v>
      </c>
      <c r="E17" s="3" t="s">
        <v>35</v>
      </c>
      <c r="F17" s="2" t="str">
        <f aca="false">TEXT(D17,"mmmm")</f>
        <v>November</v>
      </c>
      <c r="G17" s="2" t="str">
        <f aca="false">INDEX('Product Summary'!$A$5:$A$24,MATCH(B17,'Product Summary'!$B$5:$B$24,0))</f>
        <v>PRD-1006</v>
      </c>
      <c r="H17" s="2" t="n">
        <v>4</v>
      </c>
      <c r="I17" s="6" t="n">
        <f aca="false">ROUND(J17*INDEX('Product Summary'!$E$5:$E$24,MATCH(B17,'Product Summary'!$B$5:$B$24,0)),2)</f>
        <v>2030.4</v>
      </c>
      <c r="J17" s="6" t="n">
        <f aca="false">C17*H17</f>
        <v>7520</v>
      </c>
    </row>
    <row r="18" customFormat="false" ht="15" hidden="false" customHeight="false" outlineLevel="0" collapsed="false">
      <c r="A18" s="2" t="n">
        <v>17</v>
      </c>
      <c r="B18" s="3" t="s">
        <v>34</v>
      </c>
      <c r="C18" s="4" t="n">
        <v>1970</v>
      </c>
      <c r="D18" s="5" t="n">
        <v>45975</v>
      </c>
      <c r="E18" s="3" t="s">
        <v>36</v>
      </c>
      <c r="F18" s="2" t="str">
        <f aca="false">TEXT(D18,"mmmm")</f>
        <v>November</v>
      </c>
      <c r="G18" s="2" t="str">
        <f aca="false">INDEX('Product Summary'!$A$5:$A$24,MATCH(B18,'Product Summary'!$B$5:$B$24,0))</f>
        <v>PRD-1006</v>
      </c>
      <c r="H18" s="2" t="n">
        <v>6</v>
      </c>
      <c r="I18" s="6" t="n">
        <f aca="false">ROUND(J18*INDEX('Product Summary'!$E$5:$E$24,MATCH(B18,'Product Summary'!$B$5:$B$24,0)),2)</f>
        <v>3191.4</v>
      </c>
      <c r="J18" s="6" t="n">
        <f aca="false">C18*H18</f>
        <v>11820</v>
      </c>
    </row>
    <row r="19" customFormat="false" ht="15" hidden="false" customHeight="false" outlineLevel="0" collapsed="false">
      <c r="A19" s="2" t="n">
        <v>18</v>
      </c>
      <c r="B19" s="3" t="s">
        <v>37</v>
      </c>
      <c r="C19" s="4" t="n">
        <v>2935</v>
      </c>
      <c r="D19" s="5" t="n">
        <v>45976</v>
      </c>
      <c r="E19" s="3" t="s">
        <v>38</v>
      </c>
      <c r="F19" s="2" t="str">
        <f aca="false">TEXT(D19,"mmmm")</f>
        <v>November</v>
      </c>
      <c r="G19" s="2" t="str">
        <f aca="false">INDEX('Product Summary'!$A$5:$A$24,MATCH(B19,'Product Summary'!$B$5:$B$24,0))</f>
        <v>PRD-1007</v>
      </c>
      <c r="H19" s="2" t="n">
        <v>6</v>
      </c>
      <c r="I19" s="6" t="n">
        <f aca="false">ROUND(J19*INDEX('Product Summary'!$E$5:$E$24,MATCH(B19,'Product Summary'!$B$5:$B$24,0)),2)</f>
        <v>5106.9</v>
      </c>
      <c r="J19" s="6" t="n">
        <f aca="false">C19*H19</f>
        <v>17610</v>
      </c>
    </row>
    <row r="20" customFormat="false" ht="15" hidden="false" customHeight="false" outlineLevel="0" collapsed="false">
      <c r="A20" s="2" t="n">
        <v>19</v>
      </c>
      <c r="B20" s="3" t="s">
        <v>37</v>
      </c>
      <c r="C20" s="4" t="n">
        <v>2795</v>
      </c>
      <c r="D20" s="5" t="n">
        <v>45977</v>
      </c>
      <c r="E20" s="3" t="s">
        <v>39</v>
      </c>
      <c r="F20" s="2" t="str">
        <f aca="false">TEXT(D20,"mmmm")</f>
        <v>November</v>
      </c>
      <c r="G20" s="2" t="str">
        <f aca="false">INDEX('Product Summary'!$A$5:$A$24,MATCH(B20,'Product Summary'!$B$5:$B$24,0))</f>
        <v>PRD-1007</v>
      </c>
      <c r="H20" s="2" t="n">
        <v>1</v>
      </c>
      <c r="I20" s="6" t="n">
        <f aca="false">ROUND(J20*INDEX('Product Summary'!$E$5:$E$24,MATCH(B20,'Product Summary'!$B$5:$B$24,0)),2)</f>
        <v>810.55</v>
      </c>
      <c r="J20" s="6" t="n">
        <f aca="false">C20*H20</f>
        <v>2795</v>
      </c>
    </row>
    <row r="21" customFormat="false" ht="15" hidden="false" customHeight="false" outlineLevel="0" collapsed="false">
      <c r="A21" s="2" t="n">
        <v>20</v>
      </c>
      <c r="B21" s="3" t="s">
        <v>22</v>
      </c>
      <c r="C21" s="4" t="n">
        <v>8245</v>
      </c>
      <c r="D21" s="5" t="n">
        <v>45978</v>
      </c>
      <c r="E21" s="3" t="s">
        <v>40</v>
      </c>
      <c r="F21" s="2" t="str">
        <f aca="false">TEXT(D21,"mmmm")</f>
        <v>November</v>
      </c>
      <c r="G21" s="2" t="str">
        <f aca="false">INDEX('Product Summary'!$A$5:$A$24,MATCH(B21,'Product Summary'!$B$5:$B$24,0))</f>
        <v>PRD-1008</v>
      </c>
      <c r="H21" s="2" t="n">
        <v>2</v>
      </c>
      <c r="I21" s="6" t="n">
        <f aca="false">ROUND(J21*INDEX('Product Summary'!$E$5:$E$24,MATCH(B21,'Product Summary'!$B$5:$B$24,0)),2)</f>
        <v>3957.6</v>
      </c>
      <c r="J21" s="6" t="n">
        <f aca="false">C21*H21</f>
        <v>16490</v>
      </c>
    </row>
    <row r="22" customFormat="false" ht="15" hidden="false" customHeight="false" outlineLevel="0" collapsed="false">
      <c r="A22" s="2" t="n">
        <v>21</v>
      </c>
      <c r="B22" s="3" t="s">
        <v>31</v>
      </c>
      <c r="C22" s="4" t="n">
        <v>24950</v>
      </c>
      <c r="D22" s="5" t="n">
        <v>45978</v>
      </c>
      <c r="E22" s="3" t="s">
        <v>41</v>
      </c>
      <c r="F22" s="2" t="str">
        <f aca="false">TEXT(D22,"mmmm")</f>
        <v>November</v>
      </c>
      <c r="G22" s="2" t="str">
        <f aca="false">INDEX('Product Summary'!$A$5:$A$24,MATCH(B22,'Product Summary'!$B$5:$B$24,0))</f>
        <v>PRD-1020</v>
      </c>
      <c r="H22" s="2" t="n">
        <v>2</v>
      </c>
      <c r="I22" s="6" t="n">
        <f aca="false">ROUND(J22*INDEX('Product Summary'!$E$5:$E$24,MATCH(B22,'Product Summary'!$B$5:$B$24,0)),2)</f>
        <v>4990</v>
      </c>
      <c r="J22" s="6" t="n">
        <f aca="false">C22*H22</f>
        <v>49900</v>
      </c>
    </row>
    <row r="23" customFormat="false" ht="15" hidden="false" customHeight="false" outlineLevel="0" collapsed="false">
      <c r="A23" s="2" t="n">
        <v>22</v>
      </c>
      <c r="B23" s="3" t="s">
        <v>42</v>
      </c>
      <c r="C23" s="4" t="n">
        <v>1235</v>
      </c>
      <c r="D23" s="5" t="n">
        <v>45978</v>
      </c>
      <c r="E23" s="3" t="s">
        <v>32</v>
      </c>
      <c r="F23" s="2" t="str">
        <f aca="false">TEXT(D23,"mmmm")</f>
        <v>November</v>
      </c>
      <c r="G23" s="2" t="str">
        <f aca="false">INDEX('Product Summary'!$A$5:$A$24,MATCH(B23,'Product Summary'!$B$5:$B$24,0))</f>
        <v>PRD-1017</v>
      </c>
      <c r="H23" s="2" t="n">
        <v>3</v>
      </c>
      <c r="I23" s="6" t="n">
        <f aca="false">ROUND(J23*INDEX('Product Summary'!$E$5:$E$24,MATCH(B23,'Product Summary'!$B$5:$B$24,0)),2)</f>
        <v>1407.9</v>
      </c>
      <c r="J23" s="6" t="n">
        <f aca="false">C23*H23</f>
        <v>3705</v>
      </c>
    </row>
    <row r="24" customFormat="false" ht="15" hidden="false" customHeight="false" outlineLevel="0" collapsed="false">
      <c r="A24" s="2" t="n">
        <v>23</v>
      </c>
      <c r="B24" s="3" t="s">
        <v>43</v>
      </c>
      <c r="C24" s="4" t="n">
        <v>11610</v>
      </c>
      <c r="D24" s="5" t="n">
        <v>45979</v>
      </c>
      <c r="E24" s="3" t="s">
        <v>44</v>
      </c>
      <c r="F24" s="2" t="str">
        <f aca="false">TEXT(D24,"mmmm")</f>
        <v>November</v>
      </c>
      <c r="G24" s="2" t="str">
        <f aca="false">INDEX('Product Summary'!$A$5:$A$24,MATCH(B24,'Product Summary'!$B$5:$B$24,0))</f>
        <v>PRD-1015</v>
      </c>
      <c r="H24" s="2" t="n">
        <v>2</v>
      </c>
      <c r="I24" s="6" t="n">
        <f aca="false">ROUND(J24*INDEX('Product Summary'!$E$5:$E$24,MATCH(B24,'Product Summary'!$B$5:$B$24,0)),2)</f>
        <v>4644</v>
      </c>
      <c r="J24" s="6" t="n">
        <f aca="false">C24*H24</f>
        <v>23220</v>
      </c>
    </row>
    <row r="25" customFormat="false" ht="15" hidden="false" customHeight="false" outlineLevel="0" collapsed="false">
      <c r="A25" s="2" t="n">
        <v>24</v>
      </c>
      <c r="B25" s="3" t="s">
        <v>45</v>
      </c>
      <c r="C25" s="4" t="n">
        <v>2545</v>
      </c>
      <c r="D25" s="5" t="n">
        <v>45979</v>
      </c>
      <c r="E25" s="3" t="s">
        <v>46</v>
      </c>
      <c r="F25" s="2" t="str">
        <f aca="false">TEXT(D25,"mmmm")</f>
        <v>November</v>
      </c>
      <c r="G25" s="2" t="str">
        <f aca="false">INDEX('Product Summary'!$A$5:$A$24,MATCH(B25,'Product Summary'!$B$5:$B$24,0))</f>
        <v>PRD-1010</v>
      </c>
      <c r="H25" s="2" t="n">
        <v>2</v>
      </c>
      <c r="I25" s="6" t="n">
        <f aca="false">ROUND(J25*INDEX('Product Summary'!$E$5:$E$24,MATCH(B25,'Product Summary'!$B$5:$B$24,0)),2)</f>
        <v>1272.5</v>
      </c>
      <c r="J25" s="6" t="n">
        <f aca="false">C25*H25</f>
        <v>5090</v>
      </c>
    </row>
    <row r="26" customFormat="false" ht="15" hidden="false" customHeight="false" outlineLevel="0" collapsed="false">
      <c r="A26" s="2" t="n">
        <v>25</v>
      </c>
      <c r="B26" s="3" t="s">
        <v>34</v>
      </c>
      <c r="C26" s="4" t="n">
        <v>2075</v>
      </c>
      <c r="D26" s="5" t="n">
        <v>45979</v>
      </c>
      <c r="E26" s="3" t="s">
        <v>47</v>
      </c>
      <c r="F26" s="2" t="str">
        <f aca="false">TEXT(D26,"mmmm")</f>
        <v>November</v>
      </c>
      <c r="G26" s="2" t="str">
        <f aca="false">INDEX('Product Summary'!$A$5:$A$24,MATCH(B26,'Product Summary'!$B$5:$B$24,0))</f>
        <v>PRD-1006</v>
      </c>
      <c r="H26" s="2" t="n">
        <v>2</v>
      </c>
      <c r="I26" s="6" t="n">
        <f aca="false">ROUND(J26*INDEX('Product Summary'!$E$5:$E$24,MATCH(B26,'Product Summary'!$B$5:$B$24,0)),2)</f>
        <v>1120.5</v>
      </c>
      <c r="J26" s="6" t="n">
        <f aca="false">C26*H26</f>
        <v>4150</v>
      </c>
    </row>
    <row r="27" customFormat="false" ht="15" hidden="false" customHeight="false" outlineLevel="0" collapsed="false">
      <c r="A27" s="2" t="n">
        <v>26</v>
      </c>
      <c r="B27" s="3" t="s">
        <v>48</v>
      </c>
      <c r="C27" s="4" t="n">
        <v>3710</v>
      </c>
      <c r="D27" s="5" t="n">
        <v>45980</v>
      </c>
      <c r="E27" s="3" t="s">
        <v>49</v>
      </c>
      <c r="F27" s="2" t="str">
        <f aca="false">TEXT(D27,"mmmm")</f>
        <v>November</v>
      </c>
      <c r="G27" s="2" t="str">
        <f aca="false">INDEX('Product Summary'!$A$5:$A$24,MATCH(B27,'Product Summary'!$B$5:$B$24,0))</f>
        <v>PRD-1013</v>
      </c>
      <c r="H27" s="2" t="n">
        <v>3</v>
      </c>
      <c r="I27" s="6" t="n">
        <f aca="false">ROUND(J27*INDEX('Product Summary'!$E$5:$E$24,MATCH(B27,'Product Summary'!$B$5:$B$24,0)),2)</f>
        <v>2671.2</v>
      </c>
      <c r="J27" s="6" t="n">
        <f aca="false">C27*H27</f>
        <v>11130</v>
      </c>
    </row>
    <row r="28" customFormat="false" ht="15" hidden="false" customHeight="false" outlineLevel="0" collapsed="false">
      <c r="A28" s="2" t="n">
        <v>27</v>
      </c>
      <c r="B28" s="3" t="s">
        <v>10</v>
      </c>
      <c r="C28" s="4" t="n">
        <v>16650</v>
      </c>
      <c r="D28" s="5" t="n">
        <v>45981</v>
      </c>
      <c r="E28" s="3" t="s">
        <v>50</v>
      </c>
      <c r="F28" s="2" t="str">
        <f aca="false">TEXT(D28,"mmmm")</f>
        <v>November</v>
      </c>
      <c r="G28" s="2" t="str">
        <f aca="false">INDEX('Product Summary'!$A$5:$A$24,MATCH(B28,'Product Summary'!$B$5:$B$24,0))</f>
        <v>PRD-1011</v>
      </c>
      <c r="H28" s="2" t="n">
        <v>1</v>
      </c>
      <c r="I28" s="6" t="n">
        <f aca="false">ROUND(J28*INDEX('Product Summary'!$E$5:$E$24,MATCH(B28,'Product Summary'!$B$5:$B$24,0)),2)</f>
        <v>2497.5</v>
      </c>
      <c r="J28" s="6" t="n">
        <f aca="false">C28*H28</f>
        <v>16650</v>
      </c>
    </row>
    <row r="29" customFormat="false" ht="15" hidden="false" customHeight="false" outlineLevel="0" collapsed="false">
      <c r="A29" s="2" t="n">
        <v>28</v>
      </c>
      <c r="B29" s="3" t="s">
        <v>27</v>
      </c>
      <c r="C29" s="4" t="n">
        <v>2140</v>
      </c>
      <c r="D29" s="5" t="n">
        <v>45981</v>
      </c>
      <c r="E29" s="3" t="s">
        <v>36</v>
      </c>
      <c r="F29" s="2" t="str">
        <f aca="false">TEXT(D29,"mmmm")</f>
        <v>November</v>
      </c>
      <c r="G29" s="2" t="str">
        <f aca="false">INDEX('Product Summary'!$A$5:$A$24,MATCH(B29,'Product Summary'!$B$5:$B$24,0))</f>
        <v>PRD-1004</v>
      </c>
      <c r="H29" s="2" t="n">
        <v>4</v>
      </c>
      <c r="I29" s="6" t="n">
        <f aca="false">ROUND(J29*INDEX('Product Summary'!$E$5:$E$24,MATCH(B29,'Product Summary'!$B$5:$B$24,0)),2)</f>
        <v>2568</v>
      </c>
      <c r="J29" s="6" t="n">
        <f aca="false">C29*H29</f>
        <v>8560</v>
      </c>
    </row>
    <row r="30" customFormat="false" ht="15" hidden="false" customHeight="false" outlineLevel="0" collapsed="false">
      <c r="A30" s="2" t="n">
        <v>29</v>
      </c>
      <c r="B30" s="3" t="s">
        <v>18</v>
      </c>
      <c r="C30" s="4" t="n">
        <v>1790</v>
      </c>
      <c r="D30" s="5" t="n">
        <v>45981</v>
      </c>
      <c r="E30" s="3" t="s">
        <v>51</v>
      </c>
      <c r="F30" s="2" t="str">
        <f aca="false">TEXT(D30,"mmmm")</f>
        <v>November</v>
      </c>
      <c r="G30" s="2" t="str">
        <f aca="false">INDEX('Product Summary'!$A$5:$A$24,MATCH(B30,'Product Summary'!$B$5:$B$24,0))</f>
        <v>PRD-1003</v>
      </c>
      <c r="H30" s="2" t="n">
        <v>7</v>
      </c>
      <c r="I30" s="6" t="n">
        <f aca="false">ROUND(J30*INDEX('Product Summary'!$E$5:$E$24,MATCH(B30,'Product Summary'!$B$5:$B$24,0)),2)</f>
        <v>4385.5</v>
      </c>
      <c r="J30" s="6" t="n">
        <f aca="false">C30*H30</f>
        <v>12530</v>
      </c>
    </row>
    <row r="31" customFormat="false" ht="15" hidden="false" customHeight="false" outlineLevel="0" collapsed="false">
      <c r="A31" s="2" t="n">
        <v>30</v>
      </c>
      <c r="B31" s="3" t="s">
        <v>18</v>
      </c>
      <c r="C31" s="4" t="n">
        <v>1755</v>
      </c>
      <c r="D31" s="5" t="n">
        <v>45981</v>
      </c>
      <c r="E31" s="3" t="s">
        <v>49</v>
      </c>
      <c r="F31" s="2" t="str">
        <f aca="false">TEXT(D31,"mmmm")</f>
        <v>November</v>
      </c>
      <c r="G31" s="2" t="str">
        <f aca="false">INDEX('Product Summary'!$A$5:$A$24,MATCH(B31,'Product Summary'!$B$5:$B$24,0))</f>
        <v>PRD-1003</v>
      </c>
      <c r="H31" s="2" t="n">
        <v>7</v>
      </c>
      <c r="I31" s="6" t="n">
        <f aca="false">ROUND(J31*INDEX('Product Summary'!$E$5:$E$24,MATCH(B31,'Product Summary'!$B$5:$B$24,0)),2)</f>
        <v>4299.75</v>
      </c>
      <c r="J31" s="6" t="n">
        <f aca="false">C31*H31</f>
        <v>12285</v>
      </c>
    </row>
    <row r="32" customFormat="false" ht="15" hidden="false" customHeight="false" outlineLevel="0" collapsed="false">
      <c r="A32" s="2" t="n">
        <v>31</v>
      </c>
      <c r="B32" s="3" t="s">
        <v>37</v>
      </c>
      <c r="C32" s="4" t="n">
        <v>2940</v>
      </c>
      <c r="D32" s="5" t="n">
        <v>45982</v>
      </c>
      <c r="E32" s="3" t="s">
        <v>19</v>
      </c>
      <c r="F32" s="2" t="str">
        <f aca="false">TEXT(D32,"mmmm")</f>
        <v>November</v>
      </c>
      <c r="G32" s="2" t="str">
        <f aca="false">INDEX('Product Summary'!$A$5:$A$24,MATCH(B32,'Product Summary'!$B$5:$B$24,0))</f>
        <v>PRD-1007</v>
      </c>
      <c r="H32" s="2" t="n">
        <v>6</v>
      </c>
      <c r="I32" s="6" t="n">
        <f aca="false">ROUND(J32*INDEX('Product Summary'!$E$5:$E$24,MATCH(B32,'Product Summary'!$B$5:$B$24,0)),2)</f>
        <v>5115.6</v>
      </c>
      <c r="J32" s="6" t="n">
        <f aca="false">C32*H32</f>
        <v>17640</v>
      </c>
    </row>
    <row r="33" customFormat="false" ht="15" hidden="false" customHeight="false" outlineLevel="0" collapsed="false">
      <c r="A33" s="2" t="n">
        <v>32</v>
      </c>
      <c r="B33" s="3" t="s">
        <v>52</v>
      </c>
      <c r="C33" s="4" t="n">
        <v>3250</v>
      </c>
      <c r="D33" s="5" t="n">
        <v>45982</v>
      </c>
      <c r="E33" s="3" t="s">
        <v>53</v>
      </c>
      <c r="F33" s="2" t="str">
        <f aca="false">TEXT(D33,"mmmm")</f>
        <v>November</v>
      </c>
      <c r="G33" s="2" t="str">
        <f aca="false">INDEX('Product Summary'!$A$5:$A$24,MATCH(B33,'Product Summary'!$B$5:$B$24,0))</f>
        <v>PRD-1002</v>
      </c>
      <c r="H33" s="2" t="n">
        <v>4</v>
      </c>
      <c r="I33" s="6" t="n">
        <f aca="false">ROUND(J33*INDEX('Product Summary'!$E$5:$E$24,MATCH(B33,'Product Summary'!$B$5:$B$24,0)),2)</f>
        <v>3640</v>
      </c>
      <c r="J33" s="6" t="n">
        <f aca="false">C33*H33</f>
        <v>13000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3030</v>
      </c>
      <c r="D34" s="5" t="n">
        <v>45982</v>
      </c>
      <c r="E34" s="3" t="s">
        <v>54</v>
      </c>
      <c r="F34" s="2" t="str">
        <f aca="false">TEXT(D34,"mmmm")</f>
        <v>November</v>
      </c>
      <c r="G34" s="2" t="str">
        <f aca="false">INDEX('Product Summary'!$A$5:$A$24,MATCH(B34,'Product Summary'!$B$5:$B$24,0))</f>
        <v>PRD-1007</v>
      </c>
      <c r="H34" s="2" t="n">
        <v>1</v>
      </c>
      <c r="I34" s="6" t="n">
        <f aca="false">ROUND(J34*INDEX('Product Summary'!$E$5:$E$24,MATCH(B34,'Product Summary'!$B$5:$B$24,0)),2)</f>
        <v>878.7</v>
      </c>
      <c r="J34" s="6" t="n">
        <f aca="false">C34*H34</f>
        <v>3030</v>
      </c>
    </row>
    <row r="35" customFormat="false" ht="15" hidden="false" customHeight="false" outlineLevel="0" collapsed="false">
      <c r="A35" s="2" t="n">
        <v>34</v>
      </c>
      <c r="B35" s="3" t="s">
        <v>10</v>
      </c>
      <c r="C35" s="4" t="n">
        <v>17390</v>
      </c>
      <c r="D35" s="5" t="n">
        <v>45982</v>
      </c>
      <c r="E35" s="3" t="s">
        <v>55</v>
      </c>
      <c r="F35" s="2" t="str">
        <f aca="false">TEXT(D35,"mmmm")</f>
        <v>November</v>
      </c>
      <c r="G35" s="2" t="str">
        <f aca="false">INDEX('Product Summary'!$A$5:$A$24,MATCH(B35,'Product Summary'!$B$5:$B$24,0))</f>
        <v>PRD-1011</v>
      </c>
      <c r="H35" s="2" t="n">
        <v>1</v>
      </c>
      <c r="I35" s="6" t="n">
        <f aca="false">ROUND(J35*INDEX('Product Summary'!$E$5:$E$24,MATCH(B35,'Product Summary'!$B$5:$B$24,0)),2)</f>
        <v>2608.5</v>
      </c>
      <c r="J35" s="6" t="n">
        <f aca="false">C35*H35</f>
        <v>17390</v>
      </c>
    </row>
    <row r="36" customFormat="false" ht="15" hidden="false" customHeight="false" outlineLevel="0" collapsed="false">
      <c r="A36" s="2" t="n">
        <v>35</v>
      </c>
      <c r="B36" s="3" t="s">
        <v>10</v>
      </c>
      <c r="C36" s="4" t="n">
        <v>16380</v>
      </c>
      <c r="D36" s="5" t="n">
        <v>45983</v>
      </c>
      <c r="E36" s="3" t="s">
        <v>56</v>
      </c>
      <c r="F36" s="2" t="str">
        <f aca="false">TEXT(D36,"mmmm")</f>
        <v>November</v>
      </c>
      <c r="G36" s="2" t="str">
        <f aca="false">INDEX('Product Summary'!$A$5:$A$24,MATCH(B36,'Product Summary'!$B$5:$B$24,0))</f>
        <v>PRD-1011</v>
      </c>
      <c r="H36" s="2" t="n">
        <v>2</v>
      </c>
      <c r="I36" s="6" t="n">
        <f aca="false">ROUND(J36*INDEX('Product Summary'!$E$5:$E$24,MATCH(B36,'Product Summary'!$B$5:$B$24,0)),2)</f>
        <v>4914</v>
      </c>
      <c r="J36" s="6" t="n">
        <f aca="false">C36*H36</f>
        <v>32760</v>
      </c>
    </row>
    <row r="37" customFormat="false" ht="15" hidden="false" customHeight="false" outlineLevel="0" collapsed="false">
      <c r="A37" s="2" t="n">
        <v>36</v>
      </c>
      <c r="B37" s="3" t="s">
        <v>18</v>
      </c>
      <c r="C37" s="4" t="n">
        <v>1725</v>
      </c>
      <c r="D37" s="5" t="n">
        <v>45983</v>
      </c>
      <c r="E37" s="3" t="s">
        <v>51</v>
      </c>
      <c r="F37" s="2" t="str">
        <f aca="false">TEXT(D37,"mmmm")</f>
        <v>November</v>
      </c>
      <c r="G37" s="2" t="str">
        <f aca="false">INDEX('Product Summary'!$A$5:$A$24,MATCH(B37,'Product Summary'!$B$5:$B$24,0))</f>
        <v>PRD-1003</v>
      </c>
      <c r="H37" s="2" t="n">
        <v>2</v>
      </c>
      <c r="I37" s="6" t="n">
        <f aca="false">ROUND(J37*INDEX('Product Summary'!$E$5:$E$24,MATCH(B37,'Product Summary'!$B$5:$B$24,0)),2)</f>
        <v>1207.5</v>
      </c>
      <c r="J37" s="6" t="n">
        <f aca="false">C37*H37</f>
        <v>3450</v>
      </c>
    </row>
    <row r="38" customFormat="false" ht="15" hidden="false" customHeight="false" outlineLevel="0" collapsed="false">
      <c r="A38" s="2" t="n">
        <v>37</v>
      </c>
      <c r="B38" s="3" t="s">
        <v>14</v>
      </c>
      <c r="C38" s="4" t="n">
        <v>3125</v>
      </c>
      <c r="D38" s="5" t="n">
        <v>45983</v>
      </c>
      <c r="E38" s="3" t="s">
        <v>38</v>
      </c>
      <c r="F38" s="2" t="str">
        <f aca="false">TEXT(D38,"mmmm")</f>
        <v>November</v>
      </c>
      <c r="G38" s="2" t="str">
        <f aca="false">INDEX('Product Summary'!$A$5:$A$24,MATCH(B38,'Product Summary'!$B$5:$B$24,0))</f>
        <v>PRD-1005</v>
      </c>
      <c r="H38" s="2" t="n">
        <v>1</v>
      </c>
      <c r="I38" s="6" t="n">
        <f aca="false">ROUND(J38*INDEX('Product Summary'!$E$5:$E$24,MATCH(B38,'Product Summary'!$B$5:$B$24,0)),2)</f>
        <v>812.5</v>
      </c>
      <c r="J38" s="6" t="n">
        <f aca="false">C38*H38</f>
        <v>3125</v>
      </c>
    </row>
    <row r="39" customFormat="false" ht="15" hidden="false" customHeight="false" outlineLevel="0" collapsed="false">
      <c r="A39" s="2" t="n">
        <v>38</v>
      </c>
      <c r="B39" s="3" t="s">
        <v>34</v>
      </c>
      <c r="C39" s="4" t="n">
        <v>2060</v>
      </c>
      <c r="D39" s="5" t="n">
        <v>45985</v>
      </c>
      <c r="E39" s="3" t="s">
        <v>57</v>
      </c>
      <c r="F39" s="2" t="str">
        <f aca="false">TEXT(D39,"mmmm")</f>
        <v>November</v>
      </c>
      <c r="G39" s="2" t="str">
        <f aca="false">INDEX('Product Summary'!$A$5:$A$24,MATCH(B39,'Product Summary'!$B$5:$B$24,0))</f>
        <v>PRD-1006</v>
      </c>
      <c r="H39" s="2" t="n">
        <v>7</v>
      </c>
      <c r="I39" s="6" t="n">
        <f aca="false">ROUND(J39*INDEX('Product Summary'!$E$5:$E$24,MATCH(B39,'Product Summary'!$B$5:$B$24,0)),2)</f>
        <v>3893.4</v>
      </c>
      <c r="J39" s="6" t="n">
        <f aca="false">C39*H39</f>
        <v>14420</v>
      </c>
    </row>
    <row r="40" customFormat="false" ht="15" hidden="false" customHeight="false" outlineLevel="0" collapsed="false">
      <c r="A40" s="2" t="n">
        <v>39</v>
      </c>
      <c r="B40" s="3" t="s">
        <v>31</v>
      </c>
      <c r="C40" s="4" t="n">
        <v>24045</v>
      </c>
      <c r="D40" s="5" t="n">
        <v>45986</v>
      </c>
      <c r="E40" s="3" t="s">
        <v>58</v>
      </c>
      <c r="F40" s="2" t="str">
        <f aca="false">TEXT(D40,"mmmm")</f>
        <v>November</v>
      </c>
      <c r="G40" s="2" t="str">
        <f aca="false">INDEX('Product Summary'!$A$5:$A$24,MATCH(B40,'Product Summary'!$B$5:$B$24,0))</f>
        <v>PRD-1020</v>
      </c>
      <c r="H40" s="2" t="n">
        <v>3</v>
      </c>
      <c r="I40" s="6" t="n">
        <f aca="false">ROUND(J40*INDEX('Product Summary'!$E$5:$E$24,MATCH(B40,'Product Summary'!$B$5:$B$24,0)),2)</f>
        <v>7213.5</v>
      </c>
      <c r="J40" s="6" t="n">
        <f aca="false">C40*H40</f>
        <v>72135</v>
      </c>
    </row>
    <row r="41" customFormat="false" ht="15" hidden="false" customHeight="false" outlineLevel="0" collapsed="false">
      <c r="A41" s="2" t="n">
        <v>40</v>
      </c>
      <c r="B41" s="3" t="s">
        <v>12</v>
      </c>
      <c r="C41" s="4" t="n">
        <v>750</v>
      </c>
      <c r="D41" s="5" t="n">
        <v>45987</v>
      </c>
      <c r="E41" s="3" t="s">
        <v>59</v>
      </c>
      <c r="F41" s="2" t="str">
        <f aca="false">TEXT(D41,"mmmm")</f>
        <v>November</v>
      </c>
      <c r="G41" s="2" t="str">
        <f aca="false">INDEX('Product Summary'!$A$5:$A$24,MATCH(B41,'Product Summary'!$B$5:$B$24,0))</f>
        <v>PRD-1001</v>
      </c>
      <c r="H41" s="2" t="n">
        <v>3</v>
      </c>
      <c r="I41" s="6" t="n">
        <f aca="false">ROUND(J41*INDEX('Product Summary'!$E$5:$E$24,MATCH(B41,'Product Summary'!$B$5:$B$24,0)),2)</f>
        <v>720</v>
      </c>
      <c r="J41" s="6" t="n">
        <f aca="false">C41*H41</f>
        <v>2250</v>
      </c>
    </row>
    <row r="42" customFormat="false" ht="15" hidden="false" customHeight="false" outlineLevel="0" collapsed="false">
      <c r="A42" s="2" t="n">
        <v>41</v>
      </c>
      <c r="B42" s="3" t="s">
        <v>52</v>
      </c>
      <c r="C42" s="4" t="n">
        <v>3615</v>
      </c>
      <c r="D42" s="5" t="n">
        <v>45987</v>
      </c>
      <c r="E42" s="3" t="s">
        <v>21</v>
      </c>
      <c r="F42" s="2" t="str">
        <f aca="false">TEXT(D42,"mmmm")</f>
        <v>November</v>
      </c>
      <c r="G42" s="2" t="str">
        <f aca="false">INDEX('Product Summary'!$A$5:$A$24,MATCH(B42,'Product Summary'!$B$5:$B$24,0))</f>
        <v>PRD-1002</v>
      </c>
      <c r="H42" s="2" t="n">
        <v>2</v>
      </c>
      <c r="I42" s="6" t="n">
        <f aca="false">ROUND(J42*INDEX('Product Summary'!$E$5:$E$24,MATCH(B42,'Product Summary'!$B$5:$B$24,0)),2)</f>
        <v>2024.4</v>
      </c>
      <c r="J42" s="6" t="n">
        <f aca="false">C42*H42</f>
        <v>7230</v>
      </c>
    </row>
    <row r="43" customFormat="false" ht="15" hidden="false" customHeight="false" outlineLevel="0" collapsed="false">
      <c r="A43" s="2" t="n">
        <v>42</v>
      </c>
      <c r="B43" s="3" t="s">
        <v>60</v>
      </c>
      <c r="C43" s="4" t="n">
        <v>5755</v>
      </c>
      <c r="D43" s="5" t="n">
        <v>45988</v>
      </c>
      <c r="E43" s="3" t="s">
        <v>61</v>
      </c>
      <c r="F43" s="2" t="str">
        <f aca="false">TEXT(D43,"mmmm")</f>
        <v>November</v>
      </c>
      <c r="G43" s="2" t="str">
        <f aca="false">INDEX('Product Summary'!$A$5:$A$24,MATCH(B43,'Product Summary'!$B$5:$B$24,0))</f>
        <v>PRD-1009</v>
      </c>
      <c r="H43" s="2" t="n">
        <v>5</v>
      </c>
      <c r="I43" s="6" t="n">
        <f aca="false">ROUND(J43*INDEX('Product Summary'!$E$5:$E$24,MATCH(B43,'Product Summary'!$B$5:$B$24,0)),2)</f>
        <v>6330.5</v>
      </c>
      <c r="J43" s="6" t="n">
        <f aca="false">C43*H43</f>
        <v>28775</v>
      </c>
    </row>
    <row r="44" customFormat="false" ht="15" hidden="false" customHeight="false" outlineLevel="0" collapsed="false">
      <c r="A44" s="2" t="n">
        <v>43</v>
      </c>
      <c r="B44" s="3" t="s">
        <v>34</v>
      </c>
      <c r="C44" s="4" t="n">
        <v>2020</v>
      </c>
      <c r="D44" s="5" t="n">
        <v>45989</v>
      </c>
      <c r="E44" s="3" t="s">
        <v>62</v>
      </c>
      <c r="F44" s="2" t="str">
        <f aca="false">TEXT(D44,"mmmm")</f>
        <v>November</v>
      </c>
      <c r="G44" s="2" t="str">
        <f aca="false">INDEX('Product Summary'!$A$5:$A$24,MATCH(B44,'Product Summary'!$B$5:$B$24,0))</f>
        <v>PRD-1006</v>
      </c>
      <c r="H44" s="2" t="n">
        <v>6</v>
      </c>
      <c r="I44" s="6" t="n">
        <f aca="false">ROUND(J44*INDEX('Product Summary'!$E$5:$E$24,MATCH(B44,'Product Summary'!$B$5:$B$24,0)),2)</f>
        <v>3272.4</v>
      </c>
      <c r="J44" s="6" t="n">
        <f aca="false">C44*H44</f>
        <v>12120</v>
      </c>
    </row>
    <row r="45" customFormat="false" ht="15" hidden="false" customHeight="false" outlineLevel="0" collapsed="false">
      <c r="A45" s="2" t="n">
        <v>44</v>
      </c>
      <c r="B45" s="3" t="s">
        <v>29</v>
      </c>
      <c r="C45" s="4" t="n">
        <v>9640</v>
      </c>
      <c r="D45" s="5" t="n">
        <v>45989</v>
      </c>
      <c r="E45" s="3" t="s">
        <v>63</v>
      </c>
      <c r="F45" s="2" t="str">
        <f aca="false">TEXT(D45,"mmmm")</f>
        <v>November</v>
      </c>
      <c r="G45" s="2" t="str">
        <f aca="false">INDEX('Product Summary'!$A$5:$A$24,MATCH(B45,'Product Summary'!$B$5:$B$24,0))</f>
        <v>PRD-1018</v>
      </c>
      <c r="H45" s="2" t="n">
        <v>3</v>
      </c>
      <c r="I45" s="6" t="n">
        <f aca="false">ROUND(J45*INDEX('Product Summary'!$E$5:$E$24,MATCH(B45,'Product Summary'!$B$5:$B$24,0)),2)</f>
        <v>6073.2</v>
      </c>
      <c r="J45" s="6" t="n">
        <f aca="false">C45*H45</f>
        <v>28920</v>
      </c>
    </row>
    <row r="46" customFormat="false" ht="15" hidden="false" customHeight="false" outlineLevel="0" collapsed="false">
      <c r="A46" s="2" t="n">
        <v>45</v>
      </c>
      <c r="B46" s="3" t="s">
        <v>34</v>
      </c>
      <c r="C46" s="4" t="n">
        <v>1865</v>
      </c>
      <c r="D46" s="5" t="n">
        <v>45991</v>
      </c>
      <c r="E46" s="3" t="s">
        <v>32</v>
      </c>
      <c r="F46" s="2" t="str">
        <f aca="false">TEXT(D46,"mmmm")</f>
        <v>November</v>
      </c>
      <c r="G46" s="2" t="str">
        <f aca="false">INDEX('Product Summary'!$A$5:$A$24,MATCH(B46,'Product Summary'!$B$5:$B$24,0))</f>
        <v>PRD-1006</v>
      </c>
      <c r="H46" s="2" t="n">
        <v>8</v>
      </c>
      <c r="I46" s="6" t="n">
        <f aca="false">ROUND(J46*INDEX('Product Summary'!$E$5:$E$24,MATCH(B46,'Product Summary'!$B$5:$B$24,0)),2)</f>
        <v>4028.4</v>
      </c>
      <c r="J46" s="6" t="n">
        <f aca="false">C46*H46</f>
        <v>14920</v>
      </c>
    </row>
    <row r="47" customFormat="false" ht="15" hidden="false" customHeight="false" outlineLevel="0" collapsed="false">
      <c r="A47" s="2" t="n">
        <v>46</v>
      </c>
      <c r="B47" s="3" t="s">
        <v>64</v>
      </c>
      <c r="C47" s="4" t="n">
        <v>12955</v>
      </c>
      <c r="D47" s="5" t="n">
        <v>45992</v>
      </c>
      <c r="E47" s="3" t="s">
        <v>49</v>
      </c>
      <c r="F47" s="2" t="str">
        <f aca="false">TEXT(D47,"mmmm")</f>
        <v>December</v>
      </c>
      <c r="G47" s="2" t="str">
        <f aca="false">INDEX('Product Summary'!$A$5:$A$24,MATCH(B47,'Product Summary'!$B$5:$B$24,0))</f>
        <v>PRD-1014</v>
      </c>
      <c r="H47" s="2" t="n">
        <v>3</v>
      </c>
      <c r="I47" s="6" t="n">
        <f aca="false">ROUND(J47*INDEX('Product Summary'!$E$5:$E$24,MATCH(B47,'Product Summary'!$B$5:$B$24,0)),2)</f>
        <v>6218.4</v>
      </c>
      <c r="J47" s="6" t="n">
        <f aca="false">C47*H47</f>
        <v>38865</v>
      </c>
    </row>
    <row r="48" customFormat="false" ht="15" hidden="false" customHeight="false" outlineLevel="0" collapsed="false">
      <c r="A48" s="2" t="n">
        <v>47</v>
      </c>
      <c r="B48" s="3" t="s">
        <v>22</v>
      </c>
      <c r="C48" s="4" t="n">
        <v>8090</v>
      </c>
      <c r="D48" s="5" t="n">
        <v>45993</v>
      </c>
      <c r="E48" s="3" t="s">
        <v>65</v>
      </c>
      <c r="F48" s="2" t="str">
        <f aca="false">TEXT(D48,"mmmm")</f>
        <v>December</v>
      </c>
      <c r="G48" s="2" t="str">
        <f aca="false">INDEX('Product Summary'!$A$5:$A$24,MATCH(B48,'Product Summary'!$B$5:$B$24,0))</f>
        <v>PRD-1008</v>
      </c>
      <c r="H48" s="2" t="n">
        <v>4</v>
      </c>
      <c r="I48" s="6" t="n">
        <f aca="false">ROUND(J48*INDEX('Product Summary'!$E$5:$E$24,MATCH(B48,'Product Summary'!$B$5:$B$24,0)),2)</f>
        <v>7766.4</v>
      </c>
      <c r="J48" s="6" t="n">
        <f aca="false">C48*H48</f>
        <v>32360</v>
      </c>
    </row>
    <row r="49" customFormat="false" ht="15" hidden="false" customHeight="false" outlineLevel="0" collapsed="false">
      <c r="A49" s="2" t="n">
        <v>48</v>
      </c>
      <c r="B49" s="3" t="s">
        <v>29</v>
      </c>
      <c r="C49" s="4" t="n">
        <v>9840</v>
      </c>
      <c r="D49" s="5" t="n">
        <v>45994</v>
      </c>
      <c r="E49" s="3" t="s">
        <v>66</v>
      </c>
      <c r="F49" s="2" t="str">
        <f aca="false">TEXT(D49,"mmmm")</f>
        <v>December</v>
      </c>
      <c r="G49" s="2" t="str">
        <f aca="false">INDEX('Product Summary'!$A$5:$A$24,MATCH(B49,'Product Summary'!$B$5:$B$24,0))</f>
        <v>PRD-1018</v>
      </c>
      <c r="H49" s="2" t="n">
        <v>1</v>
      </c>
      <c r="I49" s="6" t="n">
        <f aca="false">ROUND(J49*INDEX('Product Summary'!$E$5:$E$24,MATCH(B49,'Product Summary'!$B$5:$B$24,0)),2)</f>
        <v>2066.4</v>
      </c>
      <c r="J49" s="6" t="n">
        <f aca="false">C49*H49</f>
        <v>9840</v>
      </c>
    </row>
    <row r="50" customFormat="false" ht="15" hidden="false" customHeight="false" outlineLevel="0" collapsed="false">
      <c r="A50" s="2" t="n">
        <v>49</v>
      </c>
      <c r="B50" s="3" t="s">
        <v>37</v>
      </c>
      <c r="C50" s="4" t="n">
        <v>2845</v>
      </c>
      <c r="D50" s="5" t="n">
        <v>45995</v>
      </c>
      <c r="E50" s="3" t="s">
        <v>30</v>
      </c>
      <c r="F50" s="2" t="str">
        <f aca="false">TEXT(D50,"mmmm")</f>
        <v>December</v>
      </c>
      <c r="G50" s="2" t="str">
        <f aca="false">INDEX('Product Summary'!$A$5:$A$24,MATCH(B50,'Product Summary'!$B$5:$B$24,0))</f>
        <v>PRD-1007</v>
      </c>
      <c r="H50" s="2" t="n">
        <v>1</v>
      </c>
      <c r="I50" s="6" t="n">
        <f aca="false">ROUND(J50*INDEX('Product Summary'!$E$5:$E$24,MATCH(B50,'Product Summary'!$B$5:$B$24,0)),2)</f>
        <v>825.05</v>
      </c>
      <c r="J50" s="6" t="n">
        <f aca="false">C50*H50</f>
        <v>2845</v>
      </c>
    </row>
    <row r="51" customFormat="false" ht="15" hidden="false" customHeight="false" outlineLevel="0" collapsed="false">
      <c r="A51" s="2" t="n">
        <v>50</v>
      </c>
      <c r="B51" s="3" t="s">
        <v>18</v>
      </c>
      <c r="C51" s="4" t="n">
        <v>1705</v>
      </c>
      <c r="D51" s="5" t="n">
        <v>45997</v>
      </c>
      <c r="E51" s="3" t="s">
        <v>61</v>
      </c>
      <c r="F51" s="2" t="str">
        <f aca="false">TEXT(D51,"mmmm")</f>
        <v>December</v>
      </c>
      <c r="G51" s="2" t="str">
        <f aca="false">INDEX('Product Summary'!$A$5:$A$24,MATCH(B51,'Product Summary'!$B$5:$B$24,0))</f>
        <v>PRD-1003</v>
      </c>
      <c r="H51" s="2" t="n">
        <v>2</v>
      </c>
      <c r="I51" s="6" t="n">
        <f aca="false">ROUND(J51*INDEX('Product Summary'!$E$5:$E$24,MATCH(B51,'Product Summary'!$B$5:$B$24,0)),2)</f>
        <v>1193.5</v>
      </c>
      <c r="J51" s="6" t="n">
        <f aca="false">C51*H51</f>
        <v>3410</v>
      </c>
    </row>
    <row r="52" customFormat="false" ht="15" hidden="false" customHeight="false" outlineLevel="0" collapsed="false">
      <c r="A52" s="2" t="n">
        <v>51</v>
      </c>
      <c r="B52" s="3" t="s">
        <v>45</v>
      </c>
      <c r="C52" s="4" t="n">
        <v>2440</v>
      </c>
      <c r="D52" s="5" t="n">
        <v>45998</v>
      </c>
      <c r="E52" s="3" t="s">
        <v>67</v>
      </c>
      <c r="F52" s="2" t="str">
        <f aca="false">TEXT(D52,"mmmm")</f>
        <v>December</v>
      </c>
      <c r="G52" s="2" t="str">
        <f aca="false">INDEX('Product Summary'!$A$5:$A$24,MATCH(B52,'Product Summary'!$B$5:$B$24,0))</f>
        <v>PRD-1010</v>
      </c>
      <c r="H52" s="2" t="n">
        <v>5</v>
      </c>
      <c r="I52" s="6" t="n">
        <f aca="false">ROUND(J52*INDEX('Product Summary'!$E$5:$E$24,MATCH(B52,'Product Summary'!$B$5:$B$24,0)),2)</f>
        <v>3050</v>
      </c>
      <c r="J52" s="6" t="n">
        <f aca="false">C52*H52</f>
        <v>12200</v>
      </c>
    </row>
    <row r="53" customFormat="false" ht="15" hidden="false" customHeight="false" outlineLevel="0" collapsed="false">
      <c r="A53" s="2" t="n">
        <v>52</v>
      </c>
      <c r="B53" s="3" t="s">
        <v>31</v>
      </c>
      <c r="C53" s="4" t="n">
        <v>23275</v>
      </c>
      <c r="D53" s="5" t="n">
        <v>45999</v>
      </c>
      <c r="E53" s="3" t="s">
        <v>68</v>
      </c>
      <c r="F53" s="2" t="str">
        <f aca="false">TEXT(D53,"mmmm")</f>
        <v>December</v>
      </c>
      <c r="G53" s="2" t="str">
        <f aca="false">INDEX('Product Summary'!$A$5:$A$24,MATCH(B53,'Product Summary'!$B$5:$B$24,0))</f>
        <v>PRD-1020</v>
      </c>
      <c r="H53" s="2" t="n">
        <v>3</v>
      </c>
      <c r="I53" s="6" t="n">
        <f aca="false">ROUND(J53*INDEX('Product Summary'!$E$5:$E$24,MATCH(B53,'Product Summary'!$B$5:$B$24,0)),2)</f>
        <v>6982.5</v>
      </c>
      <c r="J53" s="6" t="n">
        <f aca="false">C53*H53</f>
        <v>69825</v>
      </c>
    </row>
    <row r="54" customFormat="false" ht="15" hidden="false" customHeight="false" outlineLevel="0" collapsed="false">
      <c r="A54" s="2" t="n">
        <v>53</v>
      </c>
      <c r="B54" s="3" t="s">
        <v>45</v>
      </c>
      <c r="C54" s="4" t="n">
        <v>2555</v>
      </c>
      <c r="D54" s="5" t="n">
        <v>45999</v>
      </c>
      <c r="E54" s="3" t="s">
        <v>69</v>
      </c>
      <c r="F54" s="2" t="str">
        <f aca="false">TEXT(D54,"mmmm")</f>
        <v>December</v>
      </c>
      <c r="G54" s="2" t="str">
        <f aca="false">INDEX('Product Summary'!$A$5:$A$24,MATCH(B54,'Product Summary'!$B$5:$B$24,0))</f>
        <v>PRD-1010</v>
      </c>
      <c r="H54" s="2" t="n">
        <v>1</v>
      </c>
      <c r="I54" s="6" t="n">
        <f aca="false">ROUND(J54*INDEX('Product Summary'!$E$5:$E$24,MATCH(B54,'Product Summary'!$B$5:$B$24,0)),2)</f>
        <v>638.75</v>
      </c>
      <c r="J54" s="6" t="n">
        <f aca="false">C54*H54</f>
        <v>2555</v>
      </c>
    </row>
    <row r="55" customFormat="false" ht="15" hidden="false" customHeight="false" outlineLevel="0" collapsed="false">
      <c r="A55" s="2" t="n">
        <v>54</v>
      </c>
      <c r="B55" s="3" t="s">
        <v>22</v>
      </c>
      <c r="C55" s="4" t="n">
        <v>7595</v>
      </c>
      <c r="D55" s="5" t="n">
        <v>46001</v>
      </c>
      <c r="E55" s="3" t="s">
        <v>70</v>
      </c>
      <c r="F55" s="2" t="str">
        <f aca="false">TEXT(D55,"mmmm")</f>
        <v>December</v>
      </c>
      <c r="G55" s="2" t="str">
        <f aca="false">INDEX('Product Summary'!$A$5:$A$24,MATCH(B55,'Product Summary'!$B$5:$B$24,0))</f>
        <v>PRD-1008</v>
      </c>
      <c r="H55" s="2" t="n">
        <v>2</v>
      </c>
      <c r="I55" s="6" t="n">
        <f aca="false">ROUND(J55*INDEX('Product Summary'!$E$5:$E$24,MATCH(B55,'Product Summary'!$B$5:$B$24,0)),2)</f>
        <v>3645.6</v>
      </c>
      <c r="J55" s="6" t="n">
        <f aca="false">C55*H55</f>
        <v>15190</v>
      </c>
    </row>
    <row r="56" customFormat="false" ht="15" hidden="false" customHeight="false" outlineLevel="0" collapsed="false">
      <c r="A56" s="2" t="n">
        <v>55</v>
      </c>
      <c r="B56" s="3" t="s">
        <v>48</v>
      </c>
      <c r="C56" s="4" t="n">
        <v>3855</v>
      </c>
      <c r="D56" s="5" t="n">
        <v>46001</v>
      </c>
      <c r="E56" s="3" t="s">
        <v>71</v>
      </c>
      <c r="F56" s="2" t="str">
        <f aca="false">TEXT(D56,"mmmm")</f>
        <v>December</v>
      </c>
      <c r="G56" s="2" t="str">
        <f aca="false">INDEX('Product Summary'!$A$5:$A$24,MATCH(B56,'Product Summary'!$B$5:$B$24,0))</f>
        <v>PRD-1013</v>
      </c>
      <c r="H56" s="2" t="n">
        <v>2</v>
      </c>
      <c r="I56" s="6" t="n">
        <f aca="false">ROUND(J56*INDEX('Product Summary'!$E$5:$E$24,MATCH(B56,'Product Summary'!$B$5:$B$24,0)),2)</f>
        <v>1850.4</v>
      </c>
      <c r="J56" s="6" t="n">
        <f aca="false">C56*H56</f>
        <v>7710</v>
      </c>
    </row>
    <row r="57" customFormat="false" ht="15" hidden="false" customHeight="false" outlineLevel="0" collapsed="false">
      <c r="A57" s="2" t="n">
        <v>56</v>
      </c>
      <c r="B57" s="3" t="s">
        <v>48</v>
      </c>
      <c r="C57" s="4" t="n">
        <v>4125</v>
      </c>
      <c r="D57" s="5" t="n">
        <v>46003</v>
      </c>
      <c r="E57" s="3" t="s">
        <v>72</v>
      </c>
      <c r="F57" s="2" t="str">
        <f aca="false">TEXT(D57,"mmmm")</f>
        <v>December</v>
      </c>
      <c r="G57" s="2" t="str">
        <f aca="false">INDEX('Product Summary'!$A$5:$A$24,MATCH(B57,'Product Summary'!$B$5:$B$24,0))</f>
        <v>PRD-1013</v>
      </c>
      <c r="H57" s="2" t="n">
        <v>4</v>
      </c>
      <c r="I57" s="6" t="n">
        <f aca="false">ROUND(J57*INDEX('Product Summary'!$E$5:$E$24,MATCH(B57,'Product Summary'!$B$5:$B$24,0)),2)</f>
        <v>3960</v>
      </c>
      <c r="J57" s="6" t="n">
        <f aca="false">C57*H57</f>
        <v>16500</v>
      </c>
    </row>
    <row r="58" customFormat="false" ht="15" hidden="false" customHeight="false" outlineLevel="0" collapsed="false">
      <c r="A58" s="2" t="n">
        <v>57</v>
      </c>
      <c r="B58" s="3" t="s">
        <v>12</v>
      </c>
      <c r="C58" s="4" t="n">
        <v>770</v>
      </c>
      <c r="D58" s="5" t="n">
        <v>46004</v>
      </c>
      <c r="E58" s="3" t="s">
        <v>73</v>
      </c>
      <c r="F58" s="2" t="str">
        <f aca="false">TEXT(D58,"mmmm")</f>
        <v>December</v>
      </c>
      <c r="G58" s="2" t="str">
        <f aca="false">INDEX('Product Summary'!$A$5:$A$24,MATCH(B58,'Product Summary'!$B$5:$B$24,0))</f>
        <v>PRD-1001</v>
      </c>
      <c r="H58" s="2" t="n">
        <v>10</v>
      </c>
      <c r="I58" s="6" t="n">
        <f aca="false">ROUND(J58*INDEX('Product Summary'!$E$5:$E$24,MATCH(B58,'Product Summary'!$B$5:$B$24,0)),2)</f>
        <v>2464</v>
      </c>
      <c r="J58" s="6" t="n">
        <f aca="false">C58*H58</f>
        <v>7700</v>
      </c>
    </row>
    <row r="59" customFormat="false" ht="15" hidden="false" customHeight="false" outlineLevel="0" collapsed="false">
      <c r="A59" s="2" t="n">
        <v>58</v>
      </c>
      <c r="B59" s="3" t="s">
        <v>45</v>
      </c>
      <c r="C59" s="4" t="n">
        <v>2620</v>
      </c>
      <c r="D59" s="5" t="n">
        <v>46005</v>
      </c>
      <c r="E59" s="3" t="s">
        <v>74</v>
      </c>
      <c r="F59" s="2" t="str">
        <f aca="false">TEXT(D59,"mmmm")</f>
        <v>December</v>
      </c>
      <c r="G59" s="2" t="str">
        <f aca="false">INDEX('Product Summary'!$A$5:$A$24,MATCH(B59,'Product Summary'!$B$5:$B$24,0))</f>
        <v>PRD-1010</v>
      </c>
      <c r="H59" s="2" t="n">
        <v>1</v>
      </c>
      <c r="I59" s="6" t="n">
        <f aca="false">ROUND(J59*INDEX('Product Summary'!$E$5:$E$24,MATCH(B59,'Product Summary'!$B$5:$B$24,0)),2)</f>
        <v>655</v>
      </c>
      <c r="J59" s="6" t="n">
        <f aca="false">C59*H59</f>
        <v>2620</v>
      </c>
    </row>
    <row r="60" customFormat="false" ht="15" hidden="false" customHeight="false" outlineLevel="0" collapsed="false">
      <c r="A60" s="2" t="n">
        <v>59</v>
      </c>
      <c r="B60" s="3" t="s">
        <v>60</v>
      </c>
      <c r="C60" s="4" t="n">
        <v>5540</v>
      </c>
      <c r="D60" s="5" t="n">
        <v>46006</v>
      </c>
      <c r="E60" s="3" t="s">
        <v>75</v>
      </c>
      <c r="F60" s="2" t="str">
        <f aca="false">TEXT(D60,"mmmm")</f>
        <v>December</v>
      </c>
      <c r="G60" s="2" t="str">
        <f aca="false">INDEX('Product Summary'!$A$5:$A$24,MATCH(B60,'Product Summary'!$B$5:$B$24,0))</f>
        <v>PRD-1009</v>
      </c>
      <c r="H60" s="2" t="n">
        <v>4</v>
      </c>
      <c r="I60" s="6" t="n">
        <f aca="false">ROUND(J60*INDEX('Product Summary'!$E$5:$E$24,MATCH(B60,'Product Summary'!$B$5:$B$24,0)),2)</f>
        <v>4875.2</v>
      </c>
      <c r="J60" s="6" t="n">
        <f aca="false">C60*H60</f>
        <v>22160</v>
      </c>
    </row>
    <row r="61" customFormat="false" ht="15" hidden="false" customHeight="false" outlineLevel="0" collapsed="false">
      <c r="A61" s="2" t="n">
        <v>60</v>
      </c>
      <c r="B61" s="3" t="s">
        <v>14</v>
      </c>
      <c r="C61" s="4" t="n">
        <v>2995</v>
      </c>
      <c r="D61" s="5" t="n">
        <v>46006</v>
      </c>
      <c r="E61" s="3" t="s">
        <v>74</v>
      </c>
      <c r="F61" s="2" t="str">
        <f aca="false">TEXT(D61,"mmmm")</f>
        <v>December</v>
      </c>
      <c r="G61" s="2" t="str">
        <f aca="false">INDEX('Product Summary'!$A$5:$A$24,MATCH(B61,'Product Summary'!$B$5:$B$24,0))</f>
        <v>PRD-1005</v>
      </c>
      <c r="H61" s="2" t="n">
        <v>4</v>
      </c>
      <c r="I61" s="6" t="n">
        <f aca="false">ROUND(J61*INDEX('Product Summary'!$E$5:$E$24,MATCH(B61,'Product Summary'!$B$5:$B$24,0)),2)</f>
        <v>3114.8</v>
      </c>
      <c r="J61" s="6" t="n">
        <f aca="false">C61*H61</f>
        <v>11980</v>
      </c>
    </row>
    <row r="62" customFormat="false" ht="15" hidden="false" customHeight="false" outlineLevel="0" collapsed="false">
      <c r="A62" s="2" t="n">
        <v>61</v>
      </c>
      <c r="B62" s="3" t="s">
        <v>60</v>
      </c>
      <c r="C62" s="4" t="n">
        <v>5770</v>
      </c>
      <c r="D62" s="5" t="n">
        <v>46006</v>
      </c>
      <c r="E62" s="3" t="s">
        <v>76</v>
      </c>
      <c r="F62" s="2" t="str">
        <f aca="false">TEXT(D62,"mmmm")</f>
        <v>December</v>
      </c>
      <c r="G62" s="2" t="str">
        <f aca="false">INDEX('Product Summary'!$A$5:$A$24,MATCH(B62,'Product Summary'!$B$5:$B$24,0))</f>
        <v>PRD-1009</v>
      </c>
      <c r="H62" s="2" t="n">
        <v>4</v>
      </c>
      <c r="I62" s="6" t="n">
        <f aca="false">ROUND(J62*INDEX('Product Summary'!$E$5:$E$24,MATCH(B62,'Product Summary'!$B$5:$B$24,0)),2)</f>
        <v>5077.6</v>
      </c>
      <c r="J62" s="6" t="n">
        <f aca="false">C62*H62</f>
        <v>23080</v>
      </c>
    </row>
    <row r="63" customFormat="false" ht="15" hidden="false" customHeight="false" outlineLevel="0" collapsed="false">
      <c r="A63" s="2" t="n">
        <v>62</v>
      </c>
      <c r="B63" s="3" t="s">
        <v>12</v>
      </c>
      <c r="C63" s="4" t="n">
        <v>835</v>
      </c>
      <c r="D63" s="5" t="n">
        <v>46006</v>
      </c>
      <c r="E63" s="3" t="s">
        <v>77</v>
      </c>
      <c r="F63" s="2" t="str">
        <f aca="false">TEXT(D63,"mmmm")</f>
        <v>December</v>
      </c>
      <c r="G63" s="2" t="str">
        <f aca="false">INDEX('Product Summary'!$A$5:$A$24,MATCH(B63,'Product Summary'!$B$5:$B$24,0))</f>
        <v>PRD-1001</v>
      </c>
      <c r="H63" s="2" t="n">
        <v>2</v>
      </c>
      <c r="I63" s="6" t="n">
        <f aca="false">ROUND(J63*INDEX('Product Summary'!$E$5:$E$24,MATCH(B63,'Product Summary'!$B$5:$B$24,0)),2)</f>
        <v>534.4</v>
      </c>
      <c r="J63" s="6" t="n">
        <f aca="false">C63*H63</f>
        <v>1670</v>
      </c>
    </row>
    <row r="64" customFormat="false" ht="15" hidden="false" customHeight="false" outlineLevel="0" collapsed="false">
      <c r="A64" s="2" t="n">
        <v>63</v>
      </c>
      <c r="B64" s="3" t="s">
        <v>27</v>
      </c>
      <c r="C64" s="4" t="n">
        <v>2180</v>
      </c>
      <c r="D64" s="5" t="n">
        <v>46006</v>
      </c>
      <c r="E64" s="3" t="s">
        <v>78</v>
      </c>
      <c r="F64" s="2" t="str">
        <f aca="false">TEXT(D64,"mmmm")</f>
        <v>December</v>
      </c>
      <c r="G64" s="2" t="str">
        <f aca="false">INDEX('Product Summary'!$A$5:$A$24,MATCH(B64,'Product Summary'!$B$5:$B$24,0))</f>
        <v>PRD-1004</v>
      </c>
      <c r="H64" s="2" t="n">
        <v>6</v>
      </c>
      <c r="I64" s="6" t="n">
        <f aca="false">ROUND(J64*INDEX('Product Summary'!$E$5:$E$24,MATCH(B64,'Product Summary'!$B$5:$B$24,0)),2)</f>
        <v>3924</v>
      </c>
      <c r="J64" s="6" t="n">
        <f aca="false">C64*H64</f>
        <v>13080</v>
      </c>
    </row>
    <row r="65" customFormat="false" ht="15" hidden="false" customHeight="false" outlineLevel="0" collapsed="false">
      <c r="A65" s="2" t="n">
        <v>64</v>
      </c>
      <c r="B65" s="3" t="s">
        <v>12</v>
      </c>
      <c r="C65" s="4" t="n">
        <v>760</v>
      </c>
      <c r="D65" s="5" t="n">
        <v>46006</v>
      </c>
      <c r="E65" s="3" t="s">
        <v>50</v>
      </c>
      <c r="F65" s="2" t="str">
        <f aca="false">TEXT(D65,"mmmm")</f>
        <v>December</v>
      </c>
      <c r="G65" s="2" t="str">
        <f aca="false">INDEX('Product Summary'!$A$5:$A$24,MATCH(B65,'Product Summary'!$B$5:$B$24,0))</f>
        <v>PRD-1001</v>
      </c>
      <c r="H65" s="2" t="n">
        <v>5</v>
      </c>
      <c r="I65" s="6" t="n">
        <f aca="false">ROUND(J65*INDEX('Product Summary'!$E$5:$E$24,MATCH(B65,'Product Summary'!$B$5:$B$24,0)),2)</f>
        <v>1216</v>
      </c>
      <c r="J65" s="6" t="n">
        <f aca="false">C65*H65</f>
        <v>3800</v>
      </c>
    </row>
    <row r="66" customFormat="false" ht="15" hidden="false" customHeight="false" outlineLevel="0" collapsed="false">
      <c r="A66" s="2" t="n">
        <v>65</v>
      </c>
      <c r="B66" s="3" t="s">
        <v>37</v>
      </c>
      <c r="C66" s="4" t="n">
        <v>2815</v>
      </c>
      <c r="D66" s="5" t="n">
        <v>46009</v>
      </c>
      <c r="E66" s="3" t="s">
        <v>57</v>
      </c>
      <c r="F66" s="2" t="str">
        <f aca="false">TEXT(D66,"mmmm")</f>
        <v>December</v>
      </c>
      <c r="G66" s="2" t="str">
        <f aca="false">INDEX('Product Summary'!$A$5:$A$24,MATCH(B66,'Product Summary'!$B$5:$B$24,0))</f>
        <v>PRD-1007</v>
      </c>
      <c r="H66" s="2" t="n">
        <v>4</v>
      </c>
      <c r="I66" s="6" t="n">
        <f aca="false">ROUND(J66*INDEX('Product Summary'!$E$5:$E$24,MATCH(B66,'Product Summary'!$B$5:$B$24,0)),2)</f>
        <v>3265.4</v>
      </c>
      <c r="J66" s="6" t="n">
        <f aca="false">C66*H66</f>
        <v>11260</v>
      </c>
    </row>
    <row r="67" customFormat="false" ht="15" hidden="false" customHeight="false" outlineLevel="0" collapsed="false">
      <c r="A67" s="2" t="n">
        <v>66</v>
      </c>
      <c r="B67" s="3" t="s">
        <v>18</v>
      </c>
      <c r="C67" s="4" t="n">
        <v>1875</v>
      </c>
      <c r="D67" s="5" t="n">
        <v>46011</v>
      </c>
      <c r="E67" s="3" t="s">
        <v>79</v>
      </c>
      <c r="F67" s="2" t="str">
        <f aca="false">TEXT(D67,"mmmm")</f>
        <v>December</v>
      </c>
      <c r="G67" s="2" t="str">
        <f aca="false">INDEX('Product Summary'!$A$5:$A$24,MATCH(B67,'Product Summary'!$B$5:$B$24,0))</f>
        <v>PRD-1003</v>
      </c>
      <c r="H67" s="2" t="n">
        <v>3</v>
      </c>
      <c r="I67" s="6" t="n">
        <f aca="false">ROUND(J67*INDEX('Product Summary'!$E$5:$E$24,MATCH(B67,'Product Summary'!$B$5:$B$24,0)),2)</f>
        <v>1968.75</v>
      </c>
      <c r="J67" s="6" t="n">
        <f aca="false">C67*H67</f>
        <v>5625</v>
      </c>
    </row>
    <row r="68" customFormat="false" ht="15" hidden="false" customHeight="false" outlineLevel="0" collapsed="false">
      <c r="A68" s="2" t="n">
        <v>67</v>
      </c>
      <c r="B68" s="3" t="s">
        <v>25</v>
      </c>
      <c r="C68" s="4" t="n">
        <v>18150</v>
      </c>
      <c r="D68" s="5" t="n">
        <v>46011</v>
      </c>
      <c r="E68" s="3" t="s">
        <v>62</v>
      </c>
      <c r="F68" s="2" t="str">
        <f aca="false">TEXT(D68,"mmmm")</f>
        <v>December</v>
      </c>
      <c r="G68" s="2" t="str">
        <f aca="false">INDEX('Product Summary'!$A$5:$A$24,MATCH(B68,'Product Summary'!$B$5:$B$24,0))</f>
        <v>PRD-1016</v>
      </c>
      <c r="H68" s="2" t="n">
        <v>2</v>
      </c>
      <c r="I68" s="6" t="n">
        <f aca="false">ROUND(J68*INDEX('Product Summary'!$E$5:$E$24,MATCH(B68,'Product Summary'!$B$5:$B$24,0)),2)</f>
        <v>6897</v>
      </c>
      <c r="J68" s="6" t="n">
        <f aca="false">C68*H68</f>
        <v>36300</v>
      </c>
    </row>
    <row r="69" customFormat="false" ht="15" hidden="false" customHeight="false" outlineLevel="0" collapsed="false">
      <c r="A69" s="2" t="n">
        <v>68</v>
      </c>
      <c r="B69" s="3" t="s">
        <v>37</v>
      </c>
      <c r="C69" s="4" t="n">
        <v>2875</v>
      </c>
      <c r="D69" s="5" t="n">
        <v>46013</v>
      </c>
      <c r="E69" s="3" t="s">
        <v>33</v>
      </c>
      <c r="F69" s="2" t="str">
        <f aca="false">TEXT(D69,"mmmm")</f>
        <v>December</v>
      </c>
      <c r="G69" s="2" t="str">
        <f aca="false">INDEX('Product Summary'!$A$5:$A$24,MATCH(B69,'Product Summary'!$B$5:$B$24,0))</f>
        <v>PRD-1007</v>
      </c>
      <c r="H69" s="2" t="n">
        <v>2</v>
      </c>
      <c r="I69" s="6" t="n">
        <f aca="false">ROUND(J69*INDEX('Product Summary'!$E$5:$E$24,MATCH(B69,'Product Summary'!$B$5:$B$24,0)),2)</f>
        <v>1667.5</v>
      </c>
      <c r="J69" s="6" t="n">
        <f aca="false">C69*H69</f>
        <v>5750</v>
      </c>
    </row>
    <row r="70" customFormat="false" ht="15" hidden="false" customHeight="false" outlineLevel="0" collapsed="false">
      <c r="A70" s="2" t="n">
        <v>69</v>
      </c>
      <c r="B70" s="3" t="s">
        <v>18</v>
      </c>
      <c r="C70" s="4" t="n">
        <v>1800</v>
      </c>
      <c r="D70" s="5" t="n">
        <v>46013</v>
      </c>
      <c r="E70" s="3" t="s">
        <v>76</v>
      </c>
      <c r="F70" s="2" t="str">
        <f aca="false">TEXT(D70,"mmmm")</f>
        <v>December</v>
      </c>
      <c r="G70" s="2" t="str">
        <f aca="false">INDEX('Product Summary'!$A$5:$A$24,MATCH(B70,'Product Summary'!$B$5:$B$24,0))</f>
        <v>PRD-1003</v>
      </c>
      <c r="H70" s="2" t="n">
        <v>7</v>
      </c>
      <c r="I70" s="6" t="n">
        <f aca="false">ROUND(J70*INDEX('Product Summary'!$E$5:$E$24,MATCH(B70,'Product Summary'!$B$5:$B$24,0)),2)</f>
        <v>4410</v>
      </c>
      <c r="J70" s="6" t="n">
        <f aca="false">C70*H70</f>
        <v>12600</v>
      </c>
    </row>
    <row r="71" customFormat="false" ht="15" hidden="false" customHeight="false" outlineLevel="0" collapsed="false">
      <c r="A71" s="2" t="n">
        <v>70</v>
      </c>
      <c r="B71" s="3" t="s">
        <v>18</v>
      </c>
      <c r="C71" s="4" t="n">
        <v>1730</v>
      </c>
      <c r="D71" s="5" t="n">
        <v>46013</v>
      </c>
      <c r="E71" s="3" t="s">
        <v>80</v>
      </c>
      <c r="F71" s="2" t="str">
        <f aca="false">TEXT(D71,"mmmm")</f>
        <v>December</v>
      </c>
      <c r="G71" s="2" t="str">
        <f aca="false">INDEX('Product Summary'!$A$5:$A$24,MATCH(B71,'Product Summary'!$B$5:$B$24,0))</f>
        <v>PRD-1003</v>
      </c>
      <c r="H71" s="2" t="n">
        <v>8</v>
      </c>
      <c r="I71" s="6" t="n">
        <f aca="false">ROUND(J71*INDEX('Product Summary'!$E$5:$E$24,MATCH(B71,'Product Summary'!$B$5:$B$24,0)),2)</f>
        <v>4844</v>
      </c>
      <c r="J71" s="6" t="n">
        <f aca="false">C71*H71</f>
        <v>13840</v>
      </c>
    </row>
    <row r="72" customFormat="false" ht="15" hidden="false" customHeight="false" outlineLevel="0" collapsed="false">
      <c r="A72" s="2" t="n">
        <v>71</v>
      </c>
      <c r="B72" s="3" t="s">
        <v>48</v>
      </c>
      <c r="C72" s="4" t="n">
        <v>4175</v>
      </c>
      <c r="D72" s="5" t="n">
        <v>46015</v>
      </c>
      <c r="E72" s="3" t="s">
        <v>49</v>
      </c>
      <c r="F72" s="2" t="str">
        <f aca="false">TEXT(D72,"mmmm")</f>
        <v>December</v>
      </c>
      <c r="G72" s="2" t="str">
        <f aca="false">INDEX('Product Summary'!$A$5:$A$24,MATCH(B72,'Product Summary'!$B$5:$B$24,0))</f>
        <v>PRD-1013</v>
      </c>
      <c r="H72" s="2" t="n">
        <v>2</v>
      </c>
      <c r="I72" s="6" t="n">
        <f aca="false">ROUND(J72*INDEX('Product Summary'!$E$5:$E$24,MATCH(B72,'Product Summary'!$B$5:$B$24,0)),2)</f>
        <v>2004</v>
      </c>
      <c r="J72" s="6" t="n">
        <f aca="false">C72*H72</f>
        <v>8350</v>
      </c>
    </row>
    <row r="73" customFormat="false" ht="15" hidden="false" customHeight="false" outlineLevel="0" collapsed="false">
      <c r="A73" s="2" t="n">
        <v>72</v>
      </c>
      <c r="B73" s="3" t="s">
        <v>22</v>
      </c>
      <c r="C73" s="4" t="n">
        <v>7535</v>
      </c>
      <c r="D73" s="5" t="n">
        <v>46015</v>
      </c>
      <c r="E73" s="3" t="s">
        <v>81</v>
      </c>
      <c r="F73" s="2" t="str">
        <f aca="false">TEXT(D73,"mmmm")</f>
        <v>December</v>
      </c>
      <c r="G73" s="2" t="str">
        <f aca="false">INDEX('Product Summary'!$A$5:$A$24,MATCH(B73,'Product Summary'!$B$5:$B$24,0))</f>
        <v>PRD-1008</v>
      </c>
      <c r="H73" s="2" t="n">
        <v>3</v>
      </c>
      <c r="I73" s="6" t="n">
        <f aca="false">ROUND(J73*INDEX('Product Summary'!$E$5:$E$24,MATCH(B73,'Product Summary'!$B$5:$B$24,0)),2)</f>
        <v>5425.2</v>
      </c>
      <c r="J73" s="6" t="n">
        <f aca="false">C73*H73</f>
        <v>22605</v>
      </c>
    </row>
    <row r="74" customFormat="false" ht="15" hidden="false" customHeight="false" outlineLevel="0" collapsed="false">
      <c r="A74" s="2" t="n">
        <v>73</v>
      </c>
      <c r="B74" s="3" t="s">
        <v>37</v>
      </c>
      <c r="C74" s="4" t="n">
        <v>2880</v>
      </c>
      <c r="D74" s="5" t="n">
        <v>46016</v>
      </c>
      <c r="E74" s="3" t="s">
        <v>55</v>
      </c>
      <c r="F74" s="2" t="str">
        <f aca="false">TEXT(D74,"mmmm")</f>
        <v>December</v>
      </c>
      <c r="G74" s="2" t="str">
        <f aca="false">INDEX('Product Summary'!$A$5:$A$24,MATCH(B74,'Product Summary'!$B$5:$B$24,0))</f>
        <v>PRD-1007</v>
      </c>
      <c r="H74" s="2" t="n">
        <v>3</v>
      </c>
      <c r="I74" s="6" t="n">
        <f aca="false">ROUND(J74*INDEX('Product Summary'!$E$5:$E$24,MATCH(B74,'Product Summary'!$B$5:$B$24,0)),2)</f>
        <v>2505.6</v>
      </c>
      <c r="J74" s="6" t="n">
        <f aca="false">C74*H74</f>
        <v>8640</v>
      </c>
    </row>
    <row r="75" customFormat="false" ht="15" hidden="false" customHeight="false" outlineLevel="0" collapsed="false">
      <c r="A75" s="2" t="n">
        <v>74</v>
      </c>
      <c r="B75" s="3" t="s">
        <v>18</v>
      </c>
      <c r="C75" s="4" t="n">
        <v>1795</v>
      </c>
      <c r="D75" s="5" t="n">
        <v>46016</v>
      </c>
      <c r="E75" s="3" t="s">
        <v>82</v>
      </c>
      <c r="F75" s="2" t="str">
        <f aca="false">TEXT(D75,"mmmm")</f>
        <v>December</v>
      </c>
      <c r="G75" s="2" t="str">
        <f aca="false">INDEX('Product Summary'!$A$5:$A$24,MATCH(B75,'Product Summary'!$B$5:$B$24,0))</f>
        <v>PRD-1003</v>
      </c>
      <c r="H75" s="2" t="n">
        <v>2</v>
      </c>
      <c r="I75" s="6" t="n">
        <f aca="false">ROUND(J75*INDEX('Product Summary'!$E$5:$E$24,MATCH(B75,'Product Summary'!$B$5:$B$24,0)),2)</f>
        <v>1256.5</v>
      </c>
      <c r="J75" s="6" t="n">
        <f aca="false">C75*H75</f>
        <v>3590</v>
      </c>
    </row>
    <row r="76" customFormat="false" ht="15" hidden="false" customHeight="false" outlineLevel="0" collapsed="false">
      <c r="A76" s="2" t="n">
        <v>75</v>
      </c>
      <c r="B76" s="3" t="s">
        <v>60</v>
      </c>
      <c r="C76" s="4" t="n">
        <v>6220</v>
      </c>
      <c r="D76" s="5" t="n">
        <v>46016</v>
      </c>
      <c r="E76" s="3" t="s">
        <v>21</v>
      </c>
      <c r="F76" s="2" t="str">
        <f aca="false">TEXT(D76,"mmmm")</f>
        <v>December</v>
      </c>
      <c r="G76" s="2" t="str">
        <f aca="false">INDEX('Product Summary'!$A$5:$A$24,MATCH(B76,'Product Summary'!$B$5:$B$24,0))</f>
        <v>PRD-1009</v>
      </c>
      <c r="H76" s="2" t="n">
        <v>1</v>
      </c>
      <c r="I76" s="6" t="n">
        <f aca="false">ROUND(J76*INDEX('Product Summary'!$E$5:$E$24,MATCH(B76,'Product Summary'!$B$5:$B$24,0)),2)</f>
        <v>1368.4</v>
      </c>
      <c r="J76" s="6" t="n">
        <f aca="false">C76*H76</f>
        <v>6220</v>
      </c>
    </row>
    <row r="77" customFormat="false" ht="15" hidden="false" customHeight="false" outlineLevel="0" collapsed="false">
      <c r="A77" s="2" t="n">
        <v>76</v>
      </c>
      <c r="B77" s="3" t="s">
        <v>42</v>
      </c>
      <c r="C77" s="4" t="n">
        <v>1290</v>
      </c>
      <c r="D77" s="5" t="n">
        <v>46019</v>
      </c>
      <c r="E77" s="3" t="s">
        <v>77</v>
      </c>
      <c r="F77" s="2" t="str">
        <f aca="false">TEXT(D77,"mmmm")</f>
        <v>December</v>
      </c>
      <c r="G77" s="2" t="str">
        <f aca="false">INDEX('Product Summary'!$A$5:$A$24,MATCH(B77,'Product Summary'!$B$5:$B$24,0))</f>
        <v>PRD-1017</v>
      </c>
      <c r="H77" s="2" t="n">
        <v>1</v>
      </c>
      <c r="I77" s="6" t="n">
        <f aca="false">ROUND(J77*INDEX('Product Summary'!$E$5:$E$24,MATCH(B77,'Product Summary'!$B$5:$B$24,0)),2)</f>
        <v>490.2</v>
      </c>
      <c r="J77" s="6" t="n">
        <f aca="false">C77*H77</f>
        <v>1290</v>
      </c>
    </row>
    <row r="78" customFormat="false" ht="15" hidden="false" customHeight="false" outlineLevel="0" collapsed="false">
      <c r="A78" s="2" t="n">
        <v>77</v>
      </c>
      <c r="B78" s="3" t="s">
        <v>60</v>
      </c>
      <c r="C78" s="4" t="n">
        <v>5635</v>
      </c>
      <c r="D78" s="5" t="n">
        <v>46021</v>
      </c>
      <c r="E78" s="3" t="s">
        <v>83</v>
      </c>
      <c r="F78" s="2" t="str">
        <f aca="false">TEXT(D78,"mmmm")</f>
        <v>December</v>
      </c>
      <c r="G78" s="2" t="str">
        <f aca="false">INDEX('Product Summary'!$A$5:$A$24,MATCH(B78,'Product Summary'!$B$5:$B$24,0))</f>
        <v>PRD-1009</v>
      </c>
      <c r="H78" s="2" t="n">
        <v>5</v>
      </c>
      <c r="I78" s="6" t="n">
        <f aca="false">ROUND(J78*INDEX('Product Summary'!$E$5:$E$24,MATCH(B78,'Product Summary'!$B$5:$B$24,0)),2)</f>
        <v>6198.5</v>
      </c>
      <c r="J78" s="6" t="n">
        <f aca="false">C78*H78</f>
        <v>28175</v>
      </c>
    </row>
    <row r="79" customFormat="false" ht="15" hidden="false" customHeight="false" outlineLevel="0" collapsed="false">
      <c r="A79" s="2" t="n">
        <v>78</v>
      </c>
      <c r="B79" s="3" t="s">
        <v>10</v>
      </c>
      <c r="C79" s="4" t="n">
        <v>15975</v>
      </c>
      <c r="D79" s="5" t="n">
        <v>46022</v>
      </c>
      <c r="E79" s="3" t="s">
        <v>30</v>
      </c>
      <c r="F79" s="2" t="str">
        <f aca="false">TEXT(D79,"mmmm")</f>
        <v>December</v>
      </c>
      <c r="G79" s="2" t="str">
        <f aca="false">INDEX('Product Summary'!$A$5:$A$24,MATCH(B79,'Product Summary'!$B$5:$B$24,0))</f>
        <v>PRD-1011</v>
      </c>
      <c r="H79" s="2" t="n">
        <v>1</v>
      </c>
      <c r="I79" s="6" t="n">
        <f aca="false">ROUND(J79*INDEX('Product Summary'!$E$5:$E$24,MATCH(B79,'Product Summary'!$B$5:$B$24,0)),2)</f>
        <v>2396.25</v>
      </c>
      <c r="J79" s="6" t="n">
        <f aca="false">C79*H79</f>
        <v>15975</v>
      </c>
    </row>
    <row r="80" customFormat="false" ht="15" hidden="false" customHeight="false" outlineLevel="0" collapsed="false">
      <c r="A80" s="2" t="n">
        <v>79</v>
      </c>
      <c r="B80" s="3" t="s">
        <v>52</v>
      </c>
      <c r="C80" s="4" t="n">
        <v>3410</v>
      </c>
      <c r="D80" s="5" t="n">
        <v>46022</v>
      </c>
      <c r="E80" s="3" t="s">
        <v>84</v>
      </c>
      <c r="F80" s="2" t="str">
        <f aca="false">TEXT(D80,"mmmm")</f>
        <v>December</v>
      </c>
      <c r="G80" s="2" t="str">
        <f aca="false">INDEX('Product Summary'!$A$5:$A$24,MATCH(B80,'Product Summary'!$B$5:$B$24,0))</f>
        <v>PRD-1002</v>
      </c>
      <c r="H80" s="2" t="n">
        <v>1</v>
      </c>
      <c r="I80" s="6" t="n">
        <f aca="false">ROUND(J80*INDEX('Product Summary'!$E$5:$E$24,MATCH(B80,'Product Summary'!$B$5:$B$24,0)),2)</f>
        <v>954.8</v>
      </c>
      <c r="J80" s="6" t="n">
        <f aca="false">C80*H80</f>
        <v>3410</v>
      </c>
    </row>
    <row r="81" customFormat="false" ht="15" hidden="false" customHeight="false" outlineLevel="0" collapsed="false">
      <c r="A81" s="2" t="n">
        <v>80</v>
      </c>
      <c r="B81" s="3" t="s">
        <v>43</v>
      </c>
      <c r="C81" s="4" t="n">
        <v>11685</v>
      </c>
      <c r="D81" s="5" t="n">
        <v>46023</v>
      </c>
      <c r="E81" s="3" t="s">
        <v>85</v>
      </c>
      <c r="F81" s="2" t="str">
        <f aca="false">TEXT(D81,"mmmm")</f>
        <v>January</v>
      </c>
      <c r="G81" s="2" t="str">
        <f aca="false">INDEX('Product Summary'!$A$5:$A$24,MATCH(B81,'Product Summary'!$B$5:$B$24,0))</f>
        <v>PRD-1015</v>
      </c>
      <c r="H81" s="2" t="n">
        <v>3</v>
      </c>
      <c r="I81" s="6" t="n">
        <f aca="false">ROUND(J81*INDEX('Product Summary'!$E$5:$E$24,MATCH(B81,'Product Summary'!$B$5:$B$24,0)),2)</f>
        <v>7011</v>
      </c>
      <c r="J81" s="6" t="n">
        <f aca="false">C81*H81</f>
        <v>35055</v>
      </c>
    </row>
    <row r="82" customFormat="false" ht="15" hidden="false" customHeight="false" outlineLevel="0" collapsed="false">
      <c r="A82" s="2" t="n">
        <v>81</v>
      </c>
      <c r="B82" s="3" t="s">
        <v>10</v>
      </c>
      <c r="C82" s="4" t="n">
        <v>16460</v>
      </c>
      <c r="D82" s="5" t="n">
        <v>46023</v>
      </c>
      <c r="E82" s="3" t="s">
        <v>86</v>
      </c>
      <c r="F82" s="2" t="str">
        <f aca="false">TEXT(D82,"mmmm")</f>
        <v>January</v>
      </c>
      <c r="G82" s="2" t="str">
        <f aca="false">INDEX('Product Summary'!$A$5:$A$24,MATCH(B82,'Product Summary'!$B$5:$B$24,0))</f>
        <v>PRD-1011</v>
      </c>
      <c r="H82" s="2" t="n">
        <v>3</v>
      </c>
      <c r="I82" s="6" t="n">
        <f aca="false">ROUND(J82*INDEX('Product Summary'!$E$5:$E$24,MATCH(B82,'Product Summary'!$B$5:$B$24,0)),2)</f>
        <v>7407</v>
      </c>
      <c r="J82" s="6" t="n">
        <f aca="false">C82*H82</f>
        <v>49380</v>
      </c>
    </row>
    <row r="83" customFormat="false" ht="15" hidden="false" customHeight="false" outlineLevel="0" collapsed="false">
      <c r="A83" s="2" t="n">
        <v>82</v>
      </c>
      <c r="B83" s="3" t="s">
        <v>12</v>
      </c>
      <c r="C83" s="4" t="n">
        <v>775</v>
      </c>
      <c r="D83" s="5" t="n">
        <v>46023</v>
      </c>
      <c r="E83" s="3" t="s">
        <v>87</v>
      </c>
      <c r="F83" s="2" t="str">
        <f aca="false">TEXT(D83,"mmmm")</f>
        <v>January</v>
      </c>
      <c r="G83" s="2" t="str">
        <f aca="false">INDEX('Product Summary'!$A$5:$A$24,MATCH(B83,'Product Summary'!$B$5:$B$24,0))</f>
        <v>PRD-1001</v>
      </c>
      <c r="H83" s="2" t="n">
        <v>6</v>
      </c>
      <c r="I83" s="6" t="n">
        <f aca="false">ROUND(J83*INDEX('Product Summary'!$E$5:$E$24,MATCH(B83,'Product Summary'!$B$5:$B$24,0)),2)</f>
        <v>1488</v>
      </c>
      <c r="J83" s="6" t="n">
        <f aca="false">C83*H83</f>
        <v>4650</v>
      </c>
    </row>
    <row r="84" customFormat="false" ht="15" hidden="false" customHeight="false" outlineLevel="0" collapsed="false">
      <c r="A84" s="2" t="n">
        <v>83</v>
      </c>
      <c r="B84" s="3" t="s">
        <v>42</v>
      </c>
      <c r="C84" s="4" t="n">
        <v>1240</v>
      </c>
      <c r="D84" s="5" t="n">
        <v>46025</v>
      </c>
      <c r="E84" s="3" t="s">
        <v>57</v>
      </c>
      <c r="F84" s="2" t="str">
        <f aca="false">TEXT(D84,"mmmm")</f>
        <v>January</v>
      </c>
      <c r="G84" s="2" t="str">
        <f aca="false">INDEX('Product Summary'!$A$5:$A$24,MATCH(B84,'Product Summary'!$B$5:$B$24,0))</f>
        <v>PRD-1017</v>
      </c>
      <c r="H84" s="2" t="n">
        <v>7</v>
      </c>
      <c r="I84" s="6" t="n">
        <f aca="false">ROUND(J84*INDEX('Product Summary'!$E$5:$E$24,MATCH(B84,'Product Summary'!$B$5:$B$24,0)),2)</f>
        <v>3298.4</v>
      </c>
      <c r="J84" s="6" t="n">
        <f aca="false">C84*H84</f>
        <v>8680</v>
      </c>
    </row>
    <row r="85" customFormat="false" ht="15" hidden="false" customHeight="false" outlineLevel="0" collapsed="false">
      <c r="A85" s="2" t="n">
        <v>84</v>
      </c>
      <c r="B85" s="3" t="s">
        <v>12</v>
      </c>
      <c r="C85" s="4" t="n">
        <v>790</v>
      </c>
      <c r="D85" s="5" t="n">
        <v>46025</v>
      </c>
      <c r="E85" s="3" t="s">
        <v>69</v>
      </c>
      <c r="F85" s="2" t="str">
        <f aca="false">TEXT(D85,"mmmm")</f>
        <v>January</v>
      </c>
      <c r="G85" s="2" t="str">
        <f aca="false">INDEX('Product Summary'!$A$5:$A$24,MATCH(B85,'Product Summary'!$B$5:$B$24,0))</f>
        <v>PRD-1001</v>
      </c>
      <c r="H85" s="2" t="n">
        <v>6</v>
      </c>
      <c r="I85" s="6" t="n">
        <f aca="false">ROUND(J85*INDEX('Product Summary'!$E$5:$E$24,MATCH(B85,'Product Summary'!$B$5:$B$24,0)),2)</f>
        <v>1516.8</v>
      </c>
      <c r="J85" s="6" t="n">
        <f aca="false">C85*H85</f>
        <v>4740</v>
      </c>
    </row>
    <row r="86" customFormat="false" ht="15" hidden="false" customHeight="false" outlineLevel="0" collapsed="false">
      <c r="A86" s="2" t="n">
        <v>85</v>
      </c>
      <c r="B86" s="3" t="s">
        <v>45</v>
      </c>
      <c r="C86" s="4" t="n">
        <v>2605</v>
      </c>
      <c r="D86" s="5" t="n">
        <v>46025</v>
      </c>
      <c r="E86" s="3" t="s">
        <v>88</v>
      </c>
      <c r="F86" s="2" t="str">
        <f aca="false">TEXT(D86,"mmmm")</f>
        <v>January</v>
      </c>
      <c r="G86" s="2" t="str">
        <f aca="false">INDEX('Product Summary'!$A$5:$A$24,MATCH(B86,'Product Summary'!$B$5:$B$24,0))</f>
        <v>PRD-1010</v>
      </c>
      <c r="H86" s="2" t="n">
        <v>1</v>
      </c>
      <c r="I86" s="6" t="n">
        <f aca="false">ROUND(J86*INDEX('Product Summary'!$E$5:$E$24,MATCH(B86,'Product Summary'!$B$5:$B$24,0)),2)</f>
        <v>651.25</v>
      </c>
      <c r="J86" s="6" t="n">
        <f aca="false">C86*H86</f>
        <v>2605</v>
      </c>
    </row>
    <row r="87" customFormat="false" ht="15" hidden="false" customHeight="false" outlineLevel="0" collapsed="false">
      <c r="A87" s="2" t="n">
        <v>86</v>
      </c>
      <c r="B87" s="3" t="s">
        <v>60</v>
      </c>
      <c r="C87" s="4" t="n">
        <v>5605</v>
      </c>
      <c r="D87" s="5" t="n">
        <v>46026</v>
      </c>
      <c r="E87" s="3" t="s">
        <v>89</v>
      </c>
      <c r="F87" s="2" t="str">
        <f aca="false">TEXT(D87,"mmmm")</f>
        <v>January</v>
      </c>
      <c r="G87" s="2" t="str">
        <f aca="false">INDEX('Product Summary'!$A$5:$A$24,MATCH(B87,'Product Summary'!$B$5:$B$24,0))</f>
        <v>PRD-1009</v>
      </c>
      <c r="H87" s="2" t="n">
        <v>3</v>
      </c>
      <c r="I87" s="6" t="n">
        <f aca="false">ROUND(J87*INDEX('Product Summary'!$E$5:$E$24,MATCH(B87,'Product Summary'!$B$5:$B$24,0)),2)</f>
        <v>3699.3</v>
      </c>
      <c r="J87" s="6" t="n">
        <f aca="false">C87*H87</f>
        <v>16815</v>
      </c>
    </row>
    <row r="88" customFormat="false" ht="15" hidden="false" customHeight="false" outlineLevel="0" collapsed="false">
      <c r="A88" s="2" t="n">
        <v>87</v>
      </c>
      <c r="B88" s="3" t="s">
        <v>60</v>
      </c>
      <c r="C88" s="4" t="n">
        <v>5830</v>
      </c>
      <c r="D88" s="5" t="n">
        <v>46026</v>
      </c>
      <c r="E88" s="3" t="s">
        <v>63</v>
      </c>
      <c r="F88" s="2" t="str">
        <f aca="false">TEXT(D88,"mmmm")</f>
        <v>January</v>
      </c>
      <c r="G88" s="2" t="str">
        <f aca="false">INDEX('Product Summary'!$A$5:$A$24,MATCH(B88,'Product Summary'!$B$5:$B$24,0))</f>
        <v>PRD-1009</v>
      </c>
      <c r="H88" s="2" t="n">
        <v>3</v>
      </c>
      <c r="I88" s="6" t="n">
        <f aca="false">ROUND(J88*INDEX('Product Summary'!$E$5:$E$24,MATCH(B88,'Product Summary'!$B$5:$B$24,0)),2)</f>
        <v>3847.8</v>
      </c>
      <c r="J88" s="6" t="n">
        <f aca="false">C88*H88</f>
        <v>17490</v>
      </c>
    </row>
    <row r="89" customFormat="false" ht="15" hidden="false" customHeight="false" outlineLevel="0" collapsed="false">
      <c r="A89" s="2" t="n">
        <v>88</v>
      </c>
      <c r="B89" s="3" t="s">
        <v>18</v>
      </c>
      <c r="C89" s="4" t="n">
        <v>1825</v>
      </c>
      <c r="D89" s="5" t="n">
        <v>46027</v>
      </c>
      <c r="E89" s="3" t="s">
        <v>90</v>
      </c>
      <c r="F89" s="2" t="str">
        <f aca="false">TEXT(D89,"mmmm")</f>
        <v>January</v>
      </c>
      <c r="G89" s="2" t="str">
        <f aca="false">INDEX('Product Summary'!$A$5:$A$24,MATCH(B89,'Product Summary'!$B$5:$B$24,0))</f>
        <v>PRD-1003</v>
      </c>
      <c r="H89" s="2" t="n">
        <v>4</v>
      </c>
      <c r="I89" s="6" t="n">
        <f aca="false">ROUND(J89*INDEX('Product Summary'!$E$5:$E$24,MATCH(B89,'Product Summary'!$B$5:$B$24,0)),2)</f>
        <v>2555</v>
      </c>
      <c r="J89" s="6" t="n">
        <f aca="false">C89*H89</f>
        <v>7300</v>
      </c>
    </row>
    <row r="90" customFormat="false" ht="15" hidden="false" customHeight="false" outlineLevel="0" collapsed="false">
      <c r="A90" s="2" t="n">
        <v>89</v>
      </c>
      <c r="B90" s="3" t="s">
        <v>27</v>
      </c>
      <c r="C90" s="4" t="n">
        <v>2210</v>
      </c>
      <c r="D90" s="5" t="n">
        <v>46027</v>
      </c>
      <c r="E90" s="3" t="s">
        <v>62</v>
      </c>
      <c r="F90" s="2" t="str">
        <f aca="false">TEXT(D90,"mmmm")</f>
        <v>January</v>
      </c>
      <c r="G90" s="2" t="str">
        <f aca="false">INDEX('Product Summary'!$A$5:$A$24,MATCH(B90,'Product Summary'!$B$5:$B$24,0))</f>
        <v>PRD-1004</v>
      </c>
      <c r="H90" s="2" t="n">
        <v>2</v>
      </c>
      <c r="I90" s="6" t="n">
        <f aca="false">ROUND(J90*INDEX('Product Summary'!$E$5:$E$24,MATCH(B90,'Product Summary'!$B$5:$B$24,0)),2)</f>
        <v>1326</v>
      </c>
      <c r="J90" s="6" t="n">
        <f aca="false">C90*H90</f>
        <v>4420</v>
      </c>
    </row>
    <row r="91" customFormat="false" ht="15" hidden="false" customHeight="false" outlineLevel="0" collapsed="false">
      <c r="A91" s="2" t="n">
        <v>90</v>
      </c>
      <c r="B91" s="3" t="s">
        <v>34</v>
      </c>
      <c r="C91" s="4" t="n">
        <v>2030</v>
      </c>
      <c r="D91" s="5" t="n">
        <v>46027</v>
      </c>
      <c r="E91" s="3" t="s">
        <v>91</v>
      </c>
      <c r="F91" s="2" t="str">
        <f aca="false">TEXT(D91,"mmmm")</f>
        <v>January</v>
      </c>
      <c r="G91" s="2" t="str">
        <f aca="false">INDEX('Product Summary'!$A$5:$A$24,MATCH(B91,'Product Summary'!$B$5:$B$24,0))</f>
        <v>PRD-1006</v>
      </c>
      <c r="H91" s="2" t="n">
        <v>3</v>
      </c>
      <c r="I91" s="6" t="n">
        <f aca="false">ROUND(J91*INDEX('Product Summary'!$E$5:$E$24,MATCH(B91,'Product Summary'!$B$5:$B$24,0)),2)</f>
        <v>1644.3</v>
      </c>
      <c r="J91" s="6" t="n">
        <f aca="false">C91*H91</f>
        <v>6090</v>
      </c>
    </row>
    <row r="92" customFormat="false" ht="15" hidden="false" customHeight="false" outlineLevel="0" collapsed="false">
      <c r="A92" s="2" t="n">
        <v>91</v>
      </c>
      <c r="B92" s="3" t="s">
        <v>34</v>
      </c>
      <c r="C92" s="4" t="n">
        <v>1875</v>
      </c>
      <c r="D92" s="5" t="n">
        <v>46027</v>
      </c>
      <c r="E92" s="3" t="s">
        <v>92</v>
      </c>
      <c r="F92" s="2" t="str">
        <f aca="false">TEXT(D92,"mmmm")</f>
        <v>January</v>
      </c>
      <c r="G92" s="2" t="str">
        <f aca="false">INDEX('Product Summary'!$A$5:$A$24,MATCH(B92,'Product Summary'!$B$5:$B$24,0))</f>
        <v>PRD-1006</v>
      </c>
      <c r="H92" s="2" t="n">
        <v>5</v>
      </c>
      <c r="I92" s="6" t="n">
        <f aca="false">ROUND(J92*INDEX('Product Summary'!$E$5:$E$24,MATCH(B92,'Product Summary'!$B$5:$B$24,0)),2)</f>
        <v>2531.25</v>
      </c>
      <c r="J92" s="6" t="n">
        <f aca="false">C92*H92</f>
        <v>9375</v>
      </c>
    </row>
    <row r="93" customFormat="false" ht="15" hidden="false" customHeight="false" outlineLevel="0" collapsed="false">
      <c r="A93" s="2" t="n">
        <v>92</v>
      </c>
      <c r="B93" s="3" t="s">
        <v>45</v>
      </c>
      <c r="C93" s="4" t="n">
        <v>2515</v>
      </c>
      <c r="D93" s="5" t="n">
        <v>46028</v>
      </c>
      <c r="E93" s="3" t="s">
        <v>93</v>
      </c>
      <c r="F93" s="2" t="str">
        <f aca="false">TEXT(D93,"mmmm")</f>
        <v>January</v>
      </c>
      <c r="G93" s="2" t="str">
        <f aca="false">INDEX('Product Summary'!$A$5:$A$24,MATCH(B93,'Product Summary'!$B$5:$B$24,0))</f>
        <v>PRD-1010</v>
      </c>
      <c r="H93" s="2" t="n">
        <v>6</v>
      </c>
      <c r="I93" s="6" t="n">
        <f aca="false">ROUND(J93*INDEX('Product Summary'!$E$5:$E$24,MATCH(B93,'Product Summary'!$B$5:$B$24,0)),2)</f>
        <v>3772.5</v>
      </c>
      <c r="J93" s="6" t="n">
        <f aca="false">C93*H93</f>
        <v>15090</v>
      </c>
    </row>
    <row r="94" customFormat="false" ht="15" hidden="false" customHeight="false" outlineLevel="0" collapsed="false">
      <c r="A94" s="2" t="n">
        <v>93</v>
      </c>
      <c r="B94" s="3" t="s">
        <v>64</v>
      </c>
      <c r="C94" s="4" t="n">
        <v>12350</v>
      </c>
      <c r="D94" s="5" t="n">
        <v>46029</v>
      </c>
      <c r="E94" s="3" t="s">
        <v>86</v>
      </c>
      <c r="F94" s="2" t="str">
        <f aca="false">TEXT(D94,"mmmm")</f>
        <v>January</v>
      </c>
      <c r="G94" s="2" t="str">
        <f aca="false">INDEX('Product Summary'!$A$5:$A$24,MATCH(B94,'Product Summary'!$B$5:$B$24,0))</f>
        <v>PRD-1014</v>
      </c>
      <c r="H94" s="2" t="n">
        <v>2</v>
      </c>
      <c r="I94" s="6" t="n">
        <f aca="false">ROUND(J94*INDEX('Product Summary'!$E$5:$E$24,MATCH(B94,'Product Summary'!$B$5:$B$24,0)),2)</f>
        <v>3952</v>
      </c>
      <c r="J94" s="6" t="n">
        <f aca="false">C94*H94</f>
        <v>24700</v>
      </c>
    </row>
    <row r="95" customFormat="false" ht="15" hidden="false" customHeight="false" outlineLevel="0" collapsed="false">
      <c r="A95" s="2" t="n">
        <v>94</v>
      </c>
      <c r="B95" s="3" t="s">
        <v>43</v>
      </c>
      <c r="C95" s="4" t="n">
        <v>11360</v>
      </c>
      <c r="D95" s="5" t="n">
        <v>46029</v>
      </c>
      <c r="E95" s="3" t="s">
        <v>67</v>
      </c>
      <c r="F95" s="2" t="str">
        <f aca="false">TEXT(D95,"mmmm")</f>
        <v>January</v>
      </c>
      <c r="G95" s="2" t="str">
        <f aca="false">INDEX('Product Summary'!$A$5:$A$24,MATCH(B95,'Product Summary'!$B$5:$B$24,0))</f>
        <v>PRD-1015</v>
      </c>
      <c r="H95" s="2" t="n">
        <v>3</v>
      </c>
      <c r="I95" s="6" t="n">
        <f aca="false">ROUND(J95*INDEX('Product Summary'!$E$5:$E$24,MATCH(B95,'Product Summary'!$B$5:$B$24,0)),2)</f>
        <v>6816</v>
      </c>
      <c r="J95" s="6" t="n">
        <f aca="false">C95*H95</f>
        <v>34080</v>
      </c>
    </row>
    <row r="96" customFormat="false" ht="15" hidden="false" customHeight="false" outlineLevel="0" collapsed="false">
      <c r="A96" s="2" t="n">
        <v>95</v>
      </c>
      <c r="B96" s="3" t="s">
        <v>12</v>
      </c>
      <c r="C96" s="4" t="n">
        <v>835</v>
      </c>
      <c r="D96" s="5" t="n">
        <v>46029</v>
      </c>
      <c r="E96" s="3" t="s">
        <v>24</v>
      </c>
      <c r="F96" s="2" t="str">
        <f aca="false">TEXT(D96,"mmmm")</f>
        <v>January</v>
      </c>
      <c r="G96" s="2" t="str">
        <f aca="false">INDEX('Product Summary'!$A$5:$A$24,MATCH(B96,'Product Summary'!$B$5:$B$24,0))</f>
        <v>PRD-1001</v>
      </c>
      <c r="H96" s="2" t="n">
        <v>10</v>
      </c>
      <c r="I96" s="6" t="n">
        <f aca="false">ROUND(J96*INDEX('Product Summary'!$E$5:$E$24,MATCH(B96,'Product Summary'!$B$5:$B$24,0)),2)</f>
        <v>2672</v>
      </c>
      <c r="J96" s="6" t="n">
        <f aca="false">C96*H96</f>
        <v>8350</v>
      </c>
    </row>
    <row r="97" customFormat="false" ht="15" hidden="false" customHeight="false" outlineLevel="0" collapsed="false">
      <c r="A97" s="2" t="n">
        <v>96</v>
      </c>
      <c r="B97" s="3" t="s">
        <v>37</v>
      </c>
      <c r="C97" s="4" t="n">
        <v>2905</v>
      </c>
      <c r="D97" s="5" t="n">
        <v>46034</v>
      </c>
      <c r="E97" s="3" t="s">
        <v>73</v>
      </c>
      <c r="F97" s="2" t="str">
        <f aca="false">TEXT(D97,"mmmm")</f>
        <v>January</v>
      </c>
      <c r="G97" s="2" t="str">
        <f aca="false">INDEX('Product Summary'!$A$5:$A$24,MATCH(B97,'Product Summary'!$B$5:$B$24,0))</f>
        <v>PRD-1007</v>
      </c>
      <c r="H97" s="2" t="n">
        <v>2</v>
      </c>
      <c r="I97" s="6" t="n">
        <f aca="false">ROUND(J97*INDEX('Product Summary'!$E$5:$E$24,MATCH(B97,'Product Summary'!$B$5:$B$24,0)),2)</f>
        <v>1684.9</v>
      </c>
      <c r="J97" s="6" t="n">
        <f aca="false">C97*H97</f>
        <v>5810</v>
      </c>
    </row>
    <row r="98" customFormat="false" ht="15" hidden="false" customHeight="false" outlineLevel="0" collapsed="false">
      <c r="A98" s="2" t="n">
        <v>97</v>
      </c>
      <c r="B98" s="3" t="s">
        <v>37</v>
      </c>
      <c r="C98" s="4" t="n">
        <v>3020</v>
      </c>
      <c r="D98" s="5" t="n">
        <v>46035</v>
      </c>
      <c r="E98" s="3" t="s">
        <v>36</v>
      </c>
      <c r="F98" s="2" t="str">
        <f aca="false">TEXT(D98,"mmmm")</f>
        <v>January</v>
      </c>
      <c r="G98" s="2" t="str">
        <f aca="false">INDEX('Product Summary'!$A$5:$A$24,MATCH(B98,'Product Summary'!$B$5:$B$24,0))</f>
        <v>PRD-1007</v>
      </c>
      <c r="H98" s="2" t="n">
        <v>6</v>
      </c>
      <c r="I98" s="6" t="n">
        <f aca="false">ROUND(J98*INDEX('Product Summary'!$E$5:$E$24,MATCH(B98,'Product Summary'!$B$5:$B$24,0)),2)</f>
        <v>5254.8</v>
      </c>
      <c r="J98" s="6" t="n">
        <f aca="false">C98*H98</f>
        <v>18120</v>
      </c>
    </row>
    <row r="99" customFormat="false" ht="15" hidden="false" customHeight="false" outlineLevel="0" collapsed="false">
      <c r="A99" s="2" t="n">
        <v>98</v>
      </c>
      <c r="B99" s="3" t="s">
        <v>43</v>
      </c>
      <c r="C99" s="4" t="n">
        <v>12150</v>
      </c>
      <c r="D99" s="5" t="n">
        <v>46035</v>
      </c>
      <c r="E99" s="3" t="s">
        <v>94</v>
      </c>
      <c r="F99" s="2" t="str">
        <f aca="false">TEXT(D99,"mmmm")</f>
        <v>January</v>
      </c>
      <c r="G99" s="2" t="str">
        <f aca="false">INDEX('Product Summary'!$A$5:$A$24,MATCH(B99,'Product Summary'!$B$5:$B$24,0))</f>
        <v>PRD-1015</v>
      </c>
      <c r="H99" s="2" t="n">
        <v>1</v>
      </c>
      <c r="I99" s="6" t="n">
        <f aca="false">ROUND(J99*INDEX('Product Summary'!$E$5:$E$24,MATCH(B99,'Product Summary'!$B$5:$B$24,0)),2)</f>
        <v>2430</v>
      </c>
      <c r="J99" s="6" t="n">
        <f aca="false">C99*H99</f>
        <v>12150</v>
      </c>
    </row>
    <row r="100" customFormat="false" ht="15" hidden="false" customHeight="false" outlineLevel="0" collapsed="false">
      <c r="A100" s="2" t="n">
        <v>99</v>
      </c>
      <c r="B100" s="3" t="s">
        <v>34</v>
      </c>
      <c r="C100" s="4" t="n">
        <v>1950</v>
      </c>
      <c r="D100" s="5" t="n">
        <v>46035</v>
      </c>
      <c r="E100" s="3" t="s">
        <v>82</v>
      </c>
      <c r="F100" s="2" t="str">
        <f aca="false">TEXT(D100,"mmmm")</f>
        <v>January</v>
      </c>
      <c r="G100" s="2" t="str">
        <f aca="false">INDEX('Product Summary'!$A$5:$A$24,MATCH(B100,'Product Summary'!$B$5:$B$24,0))</f>
        <v>PRD-1006</v>
      </c>
      <c r="H100" s="2" t="n">
        <v>8</v>
      </c>
      <c r="I100" s="6" t="n">
        <f aca="false">ROUND(J100*INDEX('Product Summary'!$E$5:$E$24,MATCH(B100,'Product Summary'!$B$5:$B$24,0)),2)</f>
        <v>4212</v>
      </c>
      <c r="J100" s="6" t="n">
        <f aca="false">C100*H100</f>
        <v>15600</v>
      </c>
    </row>
    <row r="101" customFormat="false" ht="15" hidden="false" customHeight="false" outlineLevel="0" collapsed="false">
      <c r="A101" s="2" t="n">
        <v>100</v>
      </c>
      <c r="B101" s="3" t="s">
        <v>43</v>
      </c>
      <c r="C101" s="4" t="n">
        <v>12440</v>
      </c>
      <c r="D101" s="5" t="n">
        <v>46036</v>
      </c>
      <c r="E101" s="3" t="s">
        <v>80</v>
      </c>
      <c r="F101" s="2" t="str">
        <f aca="false">TEXT(D101,"mmmm")</f>
        <v>January</v>
      </c>
      <c r="G101" s="2" t="str">
        <f aca="false">INDEX('Product Summary'!$A$5:$A$24,MATCH(B101,'Product Summary'!$B$5:$B$24,0))</f>
        <v>PRD-1015</v>
      </c>
      <c r="H101" s="2" t="n">
        <v>2</v>
      </c>
      <c r="I101" s="6" t="n">
        <f aca="false">ROUND(J101*INDEX('Product Summary'!$E$5:$E$24,MATCH(B101,'Product Summary'!$B$5:$B$24,0)),2)</f>
        <v>4976</v>
      </c>
      <c r="J101" s="6" t="n">
        <f aca="false">C101*H101</f>
        <v>24880</v>
      </c>
    </row>
    <row r="102" customFormat="false" ht="15" hidden="false" customHeight="false" outlineLevel="0" collapsed="false">
      <c r="A102" s="2" t="n">
        <v>101</v>
      </c>
      <c r="B102" s="3" t="s">
        <v>52</v>
      </c>
      <c r="C102" s="4" t="n">
        <v>3310</v>
      </c>
      <c r="D102" s="5" t="n">
        <v>46038</v>
      </c>
      <c r="E102" s="3" t="s">
        <v>63</v>
      </c>
      <c r="F102" s="2" t="str">
        <f aca="false">TEXT(D102,"mmmm")</f>
        <v>January</v>
      </c>
      <c r="G102" s="2" t="str">
        <f aca="false">INDEX('Product Summary'!$A$5:$A$24,MATCH(B102,'Product Summary'!$B$5:$B$24,0))</f>
        <v>PRD-1002</v>
      </c>
      <c r="H102" s="2" t="n">
        <v>2</v>
      </c>
      <c r="I102" s="6" t="n">
        <f aca="false">ROUND(J102*INDEX('Product Summary'!$E$5:$E$24,MATCH(B102,'Product Summary'!$B$5:$B$24,0)),2)</f>
        <v>1853.6</v>
      </c>
      <c r="J102" s="6" t="n">
        <f aca="false">C102*H102</f>
        <v>6620</v>
      </c>
    </row>
    <row r="103" customFormat="false" ht="15" hidden="false" customHeight="false" outlineLevel="0" collapsed="false">
      <c r="A103" s="2" t="n">
        <v>102</v>
      </c>
      <c r="B103" s="3" t="s">
        <v>60</v>
      </c>
      <c r="C103" s="4" t="n">
        <v>5805</v>
      </c>
      <c r="D103" s="5" t="n">
        <v>46039</v>
      </c>
      <c r="E103" s="3" t="s">
        <v>55</v>
      </c>
      <c r="F103" s="2" t="str">
        <f aca="false">TEXT(D103,"mmmm")</f>
        <v>January</v>
      </c>
      <c r="G103" s="2" t="str">
        <f aca="false">INDEX('Product Summary'!$A$5:$A$24,MATCH(B103,'Product Summary'!$B$5:$B$24,0))</f>
        <v>PRD-1009</v>
      </c>
      <c r="H103" s="2" t="n">
        <v>2</v>
      </c>
      <c r="I103" s="6" t="n">
        <f aca="false">ROUND(J103*INDEX('Product Summary'!$E$5:$E$24,MATCH(B103,'Product Summary'!$B$5:$B$24,0)),2)</f>
        <v>2554.2</v>
      </c>
      <c r="J103" s="6" t="n">
        <f aca="false">C103*H103</f>
        <v>11610</v>
      </c>
    </row>
    <row r="104" customFormat="false" ht="15" hidden="false" customHeight="false" outlineLevel="0" collapsed="false">
      <c r="A104" s="2" t="n">
        <v>103</v>
      </c>
      <c r="B104" s="3" t="s">
        <v>14</v>
      </c>
      <c r="C104" s="4" t="n">
        <v>2950</v>
      </c>
      <c r="D104" s="5" t="n">
        <v>46040</v>
      </c>
      <c r="E104" s="3" t="s">
        <v>95</v>
      </c>
      <c r="F104" s="2" t="str">
        <f aca="false">TEXT(D104,"mmmm")</f>
        <v>January</v>
      </c>
      <c r="G104" s="2" t="str">
        <f aca="false">INDEX('Product Summary'!$A$5:$A$24,MATCH(B104,'Product Summary'!$B$5:$B$24,0))</f>
        <v>PRD-1005</v>
      </c>
      <c r="H104" s="2" t="n">
        <v>1</v>
      </c>
      <c r="I104" s="6" t="n">
        <f aca="false">ROUND(J104*INDEX('Product Summary'!$E$5:$E$24,MATCH(B104,'Product Summary'!$B$5:$B$24,0)),2)</f>
        <v>767</v>
      </c>
      <c r="J104" s="6" t="n">
        <f aca="false">C104*H104</f>
        <v>2950</v>
      </c>
    </row>
    <row r="105" customFormat="false" ht="15" hidden="false" customHeight="false" outlineLevel="0" collapsed="false">
      <c r="A105" s="2" t="n">
        <v>104</v>
      </c>
      <c r="B105" s="3" t="s">
        <v>43</v>
      </c>
      <c r="C105" s="4" t="n">
        <v>11610</v>
      </c>
      <c r="D105" s="5" t="n">
        <v>46040</v>
      </c>
      <c r="E105" s="3" t="s">
        <v>75</v>
      </c>
      <c r="F105" s="2" t="str">
        <f aca="false">TEXT(D105,"mmmm")</f>
        <v>January</v>
      </c>
      <c r="G105" s="2" t="str">
        <f aca="false">INDEX('Product Summary'!$A$5:$A$24,MATCH(B105,'Product Summary'!$B$5:$B$24,0))</f>
        <v>PRD-1015</v>
      </c>
      <c r="H105" s="2" t="n">
        <v>3</v>
      </c>
      <c r="I105" s="6" t="n">
        <f aca="false">ROUND(J105*INDEX('Product Summary'!$E$5:$E$24,MATCH(B105,'Product Summary'!$B$5:$B$24,0)),2)</f>
        <v>6966</v>
      </c>
      <c r="J105" s="6" t="n">
        <f aca="false">C105*H105</f>
        <v>34830</v>
      </c>
    </row>
    <row r="106" customFormat="false" ht="15" hidden="false" customHeight="false" outlineLevel="0" collapsed="false">
      <c r="A106" s="2" t="n">
        <v>105</v>
      </c>
      <c r="B106" s="3" t="s">
        <v>60</v>
      </c>
      <c r="C106" s="4" t="n">
        <v>5605</v>
      </c>
      <c r="D106" s="5" t="n">
        <v>46042</v>
      </c>
      <c r="E106" s="3" t="s">
        <v>96</v>
      </c>
      <c r="F106" s="2" t="str">
        <f aca="false">TEXT(D106,"mmmm")</f>
        <v>January</v>
      </c>
      <c r="G106" s="2" t="str">
        <f aca="false">INDEX('Product Summary'!$A$5:$A$24,MATCH(B106,'Product Summary'!$B$5:$B$24,0))</f>
        <v>PRD-1009</v>
      </c>
      <c r="H106" s="2" t="n">
        <v>5</v>
      </c>
      <c r="I106" s="6" t="n">
        <f aca="false">ROUND(J106*INDEX('Product Summary'!$E$5:$E$24,MATCH(B106,'Product Summary'!$B$5:$B$24,0)),2)</f>
        <v>6165.5</v>
      </c>
      <c r="J106" s="6" t="n">
        <f aca="false">C106*H106</f>
        <v>28025</v>
      </c>
    </row>
    <row r="107" customFormat="false" ht="15" hidden="false" customHeight="false" outlineLevel="0" collapsed="false">
      <c r="A107" s="2" t="n">
        <v>106</v>
      </c>
      <c r="B107" s="3" t="s">
        <v>22</v>
      </c>
      <c r="C107" s="4" t="n">
        <v>8055</v>
      </c>
      <c r="D107" s="5" t="n">
        <v>46042</v>
      </c>
      <c r="E107" s="3" t="s">
        <v>78</v>
      </c>
      <c r="F107" s="2" t="str">
        <f aca="false">TEXT(D107,"mmmm")</f>
        <v>January</v>
      </c>
      <c r="G107" s="2" t="str">
        <f aca="false">INDEX('Product Summary'!$A$5:$A$24,MATCH(B107,'Product Summary'!$B$5:$B$24,0))</f>
        <v>PRD-1008</v>
      </c>
      <c r="H107" s="2" t="n">
        <v>1</v>
      </c>
      <c r="I107" s="6" t="n">
        <f aca="false">ROUND(J107*INDEX('Product Summary'!$E$5:$E$24,MATCH(B107,'Product Summary'!$B$5:$B$24,0)),2)</f>
        <v>1933.2</v>
      </c>
      <c r="J107" s="6" t="n">
        <f aca="false">C107*H107</f>
        <v>8055</v>
      </c>
    </row>
    <row r="108" customFormat="false" ht="15" hidden="false" customHeight="false" outlineLevel="0" collapsed="false">
      <c r="A108" s="2" t="n">
        <v>107</v>
      </c>
      <c r="B108" s="3" t="s">
        <v>52</v>
      </c>
      <c r="C108" s="4" t="n">
        <v>3265</v>
      </c>
      <c r="D108" s="5" t="n">
        <v>46042</v>
      </c>
      <c r="E108" s="3" t="s">
        <v>97</v>
      </c>
      <c r="F108" s="2" t="str">
        <f aca="false">TEXT(D108,"mmmm")</f>
        <v>January</v>
      </c>
      <c r="G108" s="2" t="str">
        <f aca="false">INDEX('Product Summary'!$A$5:$A$24,MATCH(B108,'Product Summary'!$B$5:$B$24,0))</f>
        <v>PRD-1002</v>
      </c>
      <c r="H108" s="2" t="n">
        <v>2</v>
      </c>
      <c r="I108" s="6" t="n">
        <f aca="false">ROUND(J108*INDEX('Product Summary'!$E$5:$E$24,MATCH(B108,'Product Summary'!$B$5:$B$24,0)),2)</f>
        <v>1828.4</v>
      </c>
      <c r="J108" s="6" t="n">
        <f aca="false">C108*H108</f>
        <v>6530</v>
      </c>
    </row>
    <row r="109" customFormat="false" ht="15" hidden="false" customHeight="false" outlineLevel="0" collapsed="false">
      <c r="A109" s="2" t="n">
        <v>108</v>
      </c>
      <c r="B109" s="3" t="s">
        <v>42</v>
      </c>
      <c r="C109" s="4" t="n">
        <v>1300</v>
      </c>
      <c r="D109" s="5" t="n">
        <v>46043</v>
      </c>
      <c r="E109" s="3" t="s">
        <v>21</v>
      </c>
      <c r="F109" s="2" t="str">
        <f aca="false">TEXT(D109,"mmmm")</f>
        <v>January</v>
      </c>
      <c r="G109" s="2" t="str">
        <f aca="false">INDEX('Product Summary'!$A$5:$A$24,MATCH(B109,'Product Summary'!$B$5:$B$24,0))</f>
        <v>PRD-1017</v>
      </c>
      <c r="H109" s="2" t="n">
        <v>8</v>
      </c>
      <c r="I109" s="6" t="n">
        <f aca="false">ROUND(J109*INDEX('Product Summary'!$E$5:$E$24,MATCH(B109,'Product Summary'!$B$5:$B$24,0)),2)</f>
        <v>3952</v>
      </c>
      <c r="J109" s="6" t="n">
        <f aca="false">C109*H109</f>
        <v>10400</v>
      </c>
    </row>
    <row r="110" customFormat="false" ht="15" hidden="false" customHeight="false" outlineLevel="0" collapsed="false">
      <c r="A110" s="2" t="n">
        <v>109</v>
      </c>
      <c r="B110" s="3" t="s">
        <v>22</v>
      </c>
      <c r="C110" s="4" t="n">
        <v>7920</v>
      </c>
      <c r="D110" s="5" t="n">
        <v>46044</v>
      </c>
      <c r="E110" s="3" t="s">
        <v>85</v>
      </c>
      <c r="F110" s="2" t="str">
        <f aca="false">TEXT(D110,"mmmm")</f>
        <v>January</v>
      </c>
      <c r="G110" s="2" t="str">
        <f aca="false">INDEX('Product Summary'!$A$5:$A$24,MATCH(B110,'Product Summary'!$B$5:$B$24,0))</f>
        <v>PRD-1008</v>
      </c>
      <c r="H110" s="2" t="n">
        <v>1</v>
      </c>
      <c r="I110" s="6" t="n">
        <f aca="false">ROUND(J110*INDEX('Product Summary'!$E$5:$E$24,MATCH(B110,'Product Summary'!$B$5:$B$24,0)),2)</f>
        <v>1900.8</v>
      </c>
      <c r="J110" s="6" t="n">
        <f aca="false">C110*H110</f>
        <v>7920</v>
      </c>
    </row>
    <row r="111" customFormat="false" ht="15" hidden="false" customHeight="false" outlineLevel="0" collapsed="false">
      <c r="A111" s="2" t="n">
        <v>110</v>
      </c>
      <c r="B111" s="3" t="s">
        <v>60</v>
      </c>
      <c r="C111" s="4" t="n">
        <v>6165</v>
      </c>
      <c r="D111" s="5" t="n">
        <v>46044</v>
      </c>
      <c r="E111" s="3" t="s">
        <v>54</v>
      </c>
      <c r="F111" s="2" t="str">
        <f aca="false">TEXT(D111,"mmmm")</f>
        <v>January</v>
      </c>
      <c r="G111" s="2" t="str">
        <f aca="false">INDEX('Product Summary'!$A$5:$A$24,MATCH(B111,'Product Summary'!$B$5:$B$24,0))</f>
        <v>PRD-1009</v>
      </c>
      <c r="H111" s="2" t="n">
        <v>1</v>
      </c>
      <c r="I111" s="6" t="n">
        <f aca="false">ROUND(J111*INDEX('Product Summary'!$E$5:$E$24,MATCH(B111,'Product Summary'!$B$5:$B$24,0)),2)</f>
        <v>1356.3</v>
      </c>
      <c r="J111" s="6" t="n">
        <f aca="false">C111*H111</f>
        <v>6165</v>
      </c>
    </row>
    <row r="112" customFormat="false" ht="15" hidden="false" customHeight="false" outlineLevel="0" collapsed="false">
      <c r="A112" s="2" t="n">
        <v>111</v>
      </c>
      <c r="B112" s="3" t="s">
        <v>37</v>
      </c>
      <c r="C112" s="4" t="n">
        <v>2765</v>
      </c>
      <c r="D112" s="5" t="n">
        <v>46046</v>
      </c>
      <c r="E112" s="3" t="s">
        <v>98</v>
      </c>
      <c r="F112" s="2" t="str">
        <f aca="false">TEXT(D112,"mmmm")</f>
        <v>January</v>
      </c>
      <c r="G112" s="2" t="str">
        <f aca="false">INDEX('Product Summary'!$A$5:$A$24,MATCH(B112,'Product Summary'!$B$5:$B$24,0))</f>
        <v>PRD-1007</v>
      </c>
      <c r="H112" s="2" t="n">
        <v>3</v>
      </c>
      <c r="I112" s="6" t="n">
        <f aca="false">ROUND(J112*INDEX('Product Summary'!$E$5:$E$24,MATCH(B112,'Product Summary'!$B$5:$B$24,0)),2)</f>
        <v>2405.55</v>
      </c>
      <c r="J112" s="6" t="n">
        <f aca="false">C112*H112</f>
        <v>8295</v>
      </c>
    </row>
    <row r="113" customFormat="false" ht="15" hidden="false" customHeight="false" outlineLevel="0" collapsed="false">
      <c r="A113" s="2" t="n">
        <v>112</v>
      </c>
      <c r="B113" s="3" t="s">
        <v>12</v>
      </c>
      <c r="C113" s="4" t="n">
        <v>825</v>
      </c>
      <c r="D113" s="5" t="n">
        <v>46047</v>
      </c>
      <c r="E113" s="3" t="s">
        <v>99</v>
      </c>
      <c r="F113" s="2" t="str">
        <f aca="false">TEXT(D113,"mmmm")</f>
        <v>January</v>
      </c>
      <c r="G113" s="2" t="str">
        <f aca="false">INDEX('Product Summary'!$A$5:$A$24,MATCH(B113,'Product Summary'!$B$5:$B$24,0))</f>
        <v>PRD-1001</v>
      </c>
      <c r="H113" s="2" t="n">
        <v>6</v>
      </c>
      <c r="I113" s="6" t="n">
        <f aca="false">ROUND(J113*INDEX('Product Summary'!$E$5:$E$24,MATCH(B113,'Product Summary'!$B$5:$B$24,0)),2)</f>
        <v>1584</v>
      </c>
      <c r="J113" s="6" t="n">
        <f aca="false">C113*H113</f>
        <v>4950</v>
      </c>
    </row>
    <row r="114" customFormat="false" ht="15" hidden="false" customHeight="false" outlineLevel="0" collapsed="false">
      <c r="A114" s="2" t="n">
        <v>113</v>
      </c>
      <c r="B114" s="3" t="s">
        <v>42</v>
      </c>
      <c r="C114" s="4" t="n">
        <v>1345</v>
      </c>
      <c r="D114" s="5" t="n">
        <v>46048</v>
      </c>
      <c r="E114" s="3" t="s">
        <v>26</v>
      </c>
      <c r="F114" s="2" t="str">
        <f aca="false">TEXT(D114,"mmmm")</f>
        <v>January</v>
      </c>
      <c r="G114" s="2" t="str">
        <f aca="false">INDEX('Product Summary'!$A$5:$A$24,MATCH(B114,'Product Summary'!$B$5:$B$24,0))</f>
        <v>PRD-1017</v>
      </c>
      <c r="H114" s="2" t="n">
        <v>7</v>
      </c>
      <c r="I114" s="6" t="n">
        <f aca="false">ROUND(J114*INDEX('Product Summary'!$E$5:$E$24,MATCH(B114,'Product Summary'!$B$5:$B$24,0)),2)</f>
        <v>3577.7</v>
      </c>
      <c r="J114" s="6" t="n">
        <f aca="false">C114*H114</f>
        <v>9415</v>
      </c>
    </row>
    <row r="115" customFormat="false" ht="15" hidden="false" customHeight="false" outlineLevel="0" collapsed="false">
      <c r="A115" s="2" t="n">
        <v>114</v>
      </c>
      <c r="B115" s="3" t="s">
        <v>14</v>
      </c>
      <c r="C115" s="4" t="n">
        <v>3130</v>
      </c>
      <c r="D115" s="5" t="n">
        <v>46048</v>
      </c>
      <c r="E115" s="3" t="s">
        <v>53</v>
      </c>
      <c r="F115" s="2" t="str">
        <f aca="false">TEXT(D115,"mmmm")</f>
        <v>January</v>
      </c>
      <c r="G115" s="2" t="str">
        <f aca="false">INDEX('Product Summary'!$A$5:$A$24,MATCH(B115,'Product Summary'!$B$5:$B$24,0))</f>
        <v>PRD-1005</v>
      </c>
      <c r="H115" s="2" t="n">
        <v>4</v>
      </c>
      <c r="I115" s="6" t="n">
        <f aca="false">ROUND(J115*INDEX('Product Summary'!$E$5:$E$24,MATCH(B115,'Product Summary'!$B$5:$B$24,0)),2)</f>
        <v>3255.2</v>
      </c>
      <c r="J115" s="6" t="n">
        <f aca="false">C115*H115</f>
        <v>12520</v>
      </c>
    </row>
    <row r="116" customFormat="false" ht="15" hidden="false" customHeight="false" outlineLevel="0" collapsed="false">
      <c r="A116" s="2" t="n">
        <v>115</v>
      </c>
      <c r="B116" s="3" t="s">
        <v>22</v>
      </c>
      <c r="C116" s="4" t="n">
        <v>7640</v>
      </c>
      <c r="D116" s="5" t="n">
        <v>46049</v>
      </c>
      <c r="E116" s="3" t="s">
        <v>49</v>
      </c>
      <c r="F116" s="2" t="str">
        <f aca="false">TEXT(D116,"mmmm")</f>
        <v>January</v>
      </c>
      <c r="G116" s="2" t="str">
        <f aca="false">INDEX('Product Summary'!$A$5:$A$24,MATCH(B116,'Product Summary'!$B$5:$B$24,0))</f>
        <v>PRD-1008</v>
      </c>
      <c r="H116" s="2" t="n">
        <v>2</v>
      </c>
      <c r="I116" s="6" t="n">
        <f aca="false">ROUND(J116*INDEX('Product Summary'!$E$5:$E$24,MATCH(B116,'Product Summary'!$B$5:$B$24,0)),2)</f>
        <v>3667.2</v>
      </c>
      <c r="J116" s="6" t="n">
        <f aca="false">C116*H116</f>
        <v>15280</v>
      </c>
    </row>
    <row r="117" customFormat="false" ht="15" hidden="false" customHeight="false" outlineLevel="0" collapsed="false">
      <c r="A117" s="2" t="n">
        <v>116</v>
      </c>
      <c r="B117" s="3" t="s">
        <v>31</v>
      </c>
      <c r="C117" s="4" t="n">
        <v>25680</v>
      </c>
      <c r="D117" s="5" t="n">
        <v>46049</v>
      </c>
      <c r="E117" s="3" t="s">
        <v>85</v>
      </c>
      <c r="F117" s="2" t="str">
        <f aca="false">TEXT(D117,"mmmm")</f>
        <v>January</v>
      </c>
      <c r="G117" s="2" t="str">
        <f aca="false">INDEX('Product Summary'!$A$5:$A$24,MATCH(B117,'Product Summary'!$B$5:$B$24,0))</f>
        <v>PRD-1020</v>
      </c>
      <c r="H117" s="2" t="n">
        <v>2</v>
      </c>
      <c r="I117" s="6" t="n">
        <f aca="false">ROUND(J117*INDEX('Product Summary'!$E$5:$E$24,MATCH(B117,'Product Summary'!$B$5:$B$24,0)),2)</f>
        <v>5136</v>
      </c>
      <c r="J117" s="6" t="n">
        <f aca="false">C117*H117</f>
        <v>51360</v>
      </c>
    </row>
    <row r="118" customFormat="false" ht="15" hidden="false" customHeight="false" outlineLevel="0" collapsed="false">
      <c r="A118" s="2" t="n">
        <v>117</v>
      </c>
      <c r="B118" s="3" t="s">
        <v>42</v>
      </c>
      <c r="C118" s="4" t="n">
        <v>1350</v>
      </c>
      <c r="D118" s="5" t="n">
        <v>46050</v>
      </c>
      <c r="E118" s="3" t="s">
        <v>100</v>
      </c>
      <c r="F118" s="2" t="str">
        <f aca="false">TEXT(D118,"mmmm")</f>
        <v>January</v>
      </c>
      <c r="G118" s="2" t="str">
        <f aca="false">INDEX('Product Summary'!$A$5:$A$24,MATCH(B118,'Product Summary'!$B$5:$B$24,0))</f>
        <v>PRD-1017</v>
      </c>
      <c r="H118" s="2" t="n">
        <v>4</v>
      </c>
      <c r="I118" s="6" t="n">
        <f aca="false">ROUND(J118*INDEX('Product Summary'!$E$5:$E$24,MATCH(B118,'Product Summary'!$B$5:$B$24,0)),2)</f>
        <v>2052</v>
      </c>
      <c r="J118" s="6" t="n">
        <f aca="false">C118*H118</f>
        <v>5400</v>
      </c>
    </row>
    <row r="119" customFormat="false" ht="15" hidden="false" customHeight="false" outlineLevel="0" collapsed="false">
      <c r="A119" s="2" t="n">
        <v>118</v>
      </c>
      <c r="B119" s="3" t="s">
        <v>14</v>
      </c>
      <c r="C119" s="4" t="n">
        <v>3020</v>
      </c>
      <c r="D119" s="5" t="n">
        <v>46051</v>
      </c>
      <c r="E119" s="3" t="s">
        <v>101</v>
      </c>
      <c r="F119" s="2" t="str">
        <f aca="false">TEXT(D119,"mmmm")</f>
        <v>January</v>
      </c>
      <c r="G119" s="2" t="str">
        <f aca="false">INDEX('Product Summary'!$A$5:$A$24,MATCH(B119,'Product Summary'!$B$5:$B$24,0))</f>
        <v>PRD-1005</v>
      </c>
      <c r="H119" s="2" t="n">
        <v>2</v>
      </c>
      <c r="I119" s="6" t="n">
        <f aca="false">ROUND(J119*INDEX('Product Summary'!$E$5:$E$24,MATCH(B119,'Product Summary'!$B$5:$B$24,0)),2)</f>
        <v>1570.4</v>
      </c>
      <c r="J119" s="6" t="n">
        <f aca="false">C119*H119</f>
        <v>6040</v>
      </c>
    </row>
    <row r="120" customFormat="false" ht="15" hidden="false" customHeight="false" outlineLevel="0" collapsed="false">
      <c r="A120" s="2" t="n">
        <v>119</v>
      </c>
      <c r="B120" s="3" t="s">
        <v>12</v>
      </c>
      <c r="C120" s="4" t="n">
        <v>785</v>
      </c>
      <c r="D120" s="5" t="n">
        <v>46052</v>
      </c>
      <c r="E120" s="3" t="s">
        <v>84</v>
      </c>
      <c r="F120" s="2" t="str">
        <f aca="false">TEXT(D120,"mmmm")</f>
        <v>January</v>
      </c>
      <c r="G120" s="2" t="str">
        <f aca="false">INDEX('Product Summary'!$A$5:$A$24,MATCH(B120,'Product Summary'!$B$5:$B$24,0))</f>
        <v>PRD-1001</v>
      </c>
      <c r="H120" s="2" t="n">
        <v>5</v>
      </c>
      <c r="I120" s="6" t="n">
        <f aca="false">ROUND(J120*INDEX('Product Summary'!$E$5:$E$24,MATCH(B120,'Product Summary'!$B$5:$B$24,0)),2)</f>
        <v>1256</v>
      </c>
      <c r="J120" s="6" t="n">
        <f aca="false">C120*H120</f>
        <v>3925</v>
      </c>
    </row>
    <row r="121" customFormat="false" ht="15" hidden="false" customHeight="false" outlineLevel="0" collapsed="false">
      <c r="A121" s="2" t="n">
        <v>120</v>
      </c>
      <c r="B121" s="3" t="s">
        <v>42</v>
      </c>
      <c r="C121" s="4" t="n">
        <v>1340</v>
      </c>
      <c r="D121" s="5" t="n">
        <v>46053</v>
      </c>
      <c r="E121" s="3" t="s">
        <v>61</v>
      </c>
      <c r="F121" s="2" t="str">
        <f aca="false">TEXT(D121,"mmmm")</f>
        <v>January</v>
      </c>
      <c r="G121" s="2" t="str">
        <f aca="false">INDEX('Product Summary'!$A$5:$A$24,MATCH(B121,'Product Summary'!$B$5:$B$24,0))</f>
        <v>PRD-1017</v>
      </c>
      <c r="H121" s="2" t="n">
        <v>5</v>
      </c>
      <c r="I121" s="6" t="n">
        <f aca="false">ROUND(J121*INDEX('Product Summary'!$E$5:$E$24,MATCH(B121,'Product Summary'!$B$5:$B$24,0)),2)</f>
        <v>2546</v>
      </c>
      <c r="J121" s="6" t="n">
        <f aca="false">C121*H121</f>
        <v>6700</v>
      </c>
    </row>
    <row r="122" customFormat="false" ht="15" hidden="false" customHeight="false" outlineLevel="0" collapsed="false">
      <c r="A122" s="2" t="n">
        <v>121</v>
      </c>
      <c r="B122" s="3" t="s">
        <v>10</v>
      </c>
      <c r="C122" s="4" t="n">
        <v>16715</v>
      </c>
      <c r="D122" s="5" t="n">
        <v>46055</v>
      </c>
      <c r="E122" s="3" t="s">
        <v>102</v>
      </c>
      <c r="F122" s="2" t="str">
        <f aca="false">TEXT(D122,"mmmm")</f>
        <v>February</v>
      </c>
      <c r="G122" s="2" t="str">
        <f aca="false">INDEX('Product Summary'!$A$5:$A$24,MATCH(B122,'Product Summary'!$B$5:$B$24,0))</f>
        <v>PRD-1011</v>
      </c>
      <c r="H122" s="2" t="n">
        <v>1</v>
      </c>
      <c r="I122" s="6" t="n">
        <f aca="false">ROUND(J122*INDEX('Product Summary'!$E$5:$E$24,MATCH(B122,'Product Summary'!$B$5:$B$24,0)),2)</f>
        <v>2507.25</v>
      </c>
      <c r="J122" s="6" t="n">
        <f aca="false">C122*H122</f>
        <v>16715</v>
      </c>
    </row>
    <row r="123" customFormat="false" ht="15" hidden="false" customHeight="false" outlineLevel="0" collapsed="false">
      <c r="A123" s="2" t="n">
        <v>122</v>
      </c>
      <c r="B123" s="3" t="s">
        <v>31</v>
      </c>
      <c r="C123" s="4" t="n">
        <v>24215</v>
      </c>
      <c r="D123" s="5" t="n">
        <v>46057</v>
      </c>
      <c r="E123" s="3" t="s">
        <v>103</v>
      </c>
      <c r="F123" s="2" t="str">
        <f aca="false">TEXT(D123,"mmmm")</f>
        <v>February</v>
      </c>
      <c r="G123" s="2" t="str">
        <f aca="false">INDEX('Product Summary'!$A$5:$A$24,MATCH(B123,'Product Summary'!$B$5:$B$24,0))</f>
        <v>PRD-1020</v>
      </c>
      <c r="H123" s="2" t="n">
        <v>1</v>
      </c>
      <c r="I123" s="6" t="n">
        <f aca="false">ROUND(J123*INDEX('Product Summary'!$E$5:$E$24,MATCH(B123,'Product Summary'!$B$5:$B$24,0)),2)</f>
        <v>2421.5</v>
      </c>
      <c r="J123" s="6" t="n">
        <f aca="false">C123*H123</f>
        <v>24215</v>
      </c>
    </row>
    <row r="124" customFormat="false" ht="15" hidden="false" customHeight="false" outlineLevel="0" collapsed="false">
      <c r="A124" s="2" t="n">
        <v>123</v>
      </c>
      <c r="B124" s="3" t="s">
        <v>43</v>
      </c>
      <c r="C124" s="4" t="n">
        <v>11280</v>
      </c>
      <c r="D124" s="5" t="n">
        <v>46057</v>
      </c>
      <c r="E124" s="3" t="s">
        <v>58</v>
      </c>
      <c r="F124" s="2" t="str">
        <f aca="false">TEXT(D124,"mmmm")</f>
        <v>February</v>
      </c>
      <c r="G124" s="2" t="str">
        <f aca="false">INDEX('Product Summary'!$A$5:$A$24,MATCH(B124,'Product Summary'!$B$5:$B$24,0))</f>
        <v>PRD-1015</v>
      </c>
      <c r="H124" s="2" t="n">
        <v>2</v>
      </c>
      <c r="I124" s="6" t="n">
        <f aca="false">ROUND(J124*INDEX('Product Summary'!$E$5:$E$24,MATCH(B124,'Product Summary'!$B$5:$B$24,0)),2)</f>
        <v>4512</v>
      </c>
      <c r="J124" s="6" t="n">
        <f aca="false">C124*H124</f>
        <v>22560</v>
      </c>
    </row>
    <row r="125" customFormat="false" ht="15" hidden="false" customHeight="false" outlineLevel="0" collapsed="false">
      <c r="A125" s="2" t="n">
        <v>124</v>
      </c>
      <c r="B125" s="3" t="s">
        <v>48</v>
      </c>
      <c r="C125" s="4" t="n">
        <v>3910</v>
      </c>
      <c r="D125" s="5" t="n">
        <v>46058</v>
      </c>
      <c r="E125" s="3" t="s">
        <v>92</v>
      </c>
      <c r="F125" s="2" t="str">
        <f aca="false">TEXT(D125,"mmmm")</f>
        <v>February</v>
      </c>
      <c r="G125" s="2" t="str">
        <f aca="false">INDEX('Product Summary'!$A$5:$A$24,MATCH(B125,'Product Summary'!$B$5:$B$24,0))</f>
        <v>PRD-1013</v>
      </c>
      <c r="H125" s="2" t="n">
        <v>1</v>
      </c>
      <c r="I125" s="6" t="n">
        <f aca="false">ROUND(J125*INDEX('Product Summary'!$E$5:$E$24,MATCH(B125,'Product Summary'!$B$5:$B$24,0)),2)</f>
        <v>938.4</v>
      </c>
      <c r="J125" s="6" t="n">
        <f aca="false">C125*H125</f>
        <v>3910</v>
      </c>
    </row>
    <row r="126" customFormat="false" ht="15" hidden="false" customHeight="false" outlineLevel="0" collapsed="false">
      <c r="A126" s="2" t="n">
        <v>125</v>
      </c>
      <c r="B126" s="3" t="s">
        <v>48</v>
      </c>
      <c r="C126" s="4" t="n">
        <v>3860</v>
      </c>
      <c r="D126" s="5" t="n">
        <v>46058</v>
      </c>
      <c r="E126" s="3" t="s">
        <v>76</v>
      </c>
      <c r="F126" s="2" t="str">
        <f aca="false">TEXT(D126,"mmmm")</f>
        <v>February</v>
      </c>
      <c r="G126" s="2" t="str">
        <f aca="false">INDEX('Product Summary'!$A$5:$A$24,MATCH(B126,'Product Summary'!$B$5:$B$24,0))</f>
        <v>PRD-1013</v>
      </c>
      <c r="H126" s="2" t="n">
        <v>4</v>
      </c>
      <c r="I126" s="6" t="n">
        <f aca="false">ROUND(J126*INDEX('Product Summary'!$E$5:$E$24,MATCH(B126,'Product Summary'!$B$5:$B$24,0)),2)</f>
        <v>3705.6</v>
      </c>
      <c r="J126" s="6" t="n">
        <f aca="false">C126*H126</f>
        <v>15440</v>
      </c>
    </row>
    <row r="127" customFormat="false" ht="15" hidden="false" customHeight="false" outlineLevel="0" collapsed="false">
      <c r="A127" s="2" t="n">
        <v>126</v>
      </c>
      <c r="B127" s="3" t="s">
        <v>60</v>
      </c>
      <c r="C127" s="4" t="n">
        <v>5975</v>
      </c>
      <c r="D127" s="5" t="n">
        <v>46060</v>
      </c>
      <c r="E127" s="3" t="s">
        <v>35</v>
      </c>
      <c r="F127" s="2" t="str">
        <f aca="false">TEXT(D127,"mmmm")</f>
        <v>February</v>
      </c>
      <c r="G127" s="2" t="str">
        <f aca="false">INDEX('Product Summary'!$A$5:$A$24,MATCH(B127,'Product Summary'!$B$5:$B$24,0))</f>
        <v>PRD-1009</v>
      </c>
      <c r="H127" s="2" t="n">
        <v>4</v>
      </c>
      <c r="I127" s="6" t="n">
        <f aca="false">ROUND(J127*INDEX('Product Summary'!$E$5:$E$24,MATCH(B127,'Product Summary'!$B$5:$B$24,0)),2)</f>
        <v>5258</v>
      </c>
      <c r="J127" s="6" t="n">
        <f aca="false">C127*H127</f>
        <v>23900</v>
      </c>
    </row>
    <row r="128" customFormat="false" ht="15" hidden="false" customHeight="false" outlineLevel="0" collapsed="false">
      <c r="A128" s="2" t="n">
        <v>127</v>
      </c>
      <c r="B128" s="3" t="s">
        <v>104</v>
      </c>
      <c r="C128" s="4" t="n">
        <v>8360</v>
      </c>
      <c r="D128" s="5" t="n">
        <v>46062</v>
      </c>
      <c r="E128" s="3" t="s">
        <v>67</v>
      </c>
      <c r="F128" s="2" t="str">
        <f aca="false">TEXT(D128,"mmmm")</f>
        <v>February</v>
      </c>
      <c r="G128" s="2" t="str">
        <f aca="false">INDEX('Product Summary'!$A$5:$A$24,MATCH(B128,'Product Summary'!$B$5:$B$24,0))</f>
        <v>PRD-1012</v>
      </c>
      <c r="H128" s="2" t="n">
        <v>2</v>
      </c>
      <c r="I128" s="6" t="n">
        <f aca="false">ROUND(J128*INDEX('Product Summary'!$E$5:$E$24,MATCH(B128,'Product Summary'!$B$5:$B$24,0)),2)</f>
        <v>3009.6</v>
      </c>
      <c r="J128" s="6" t="n">
        <f aca="false">C128*H128</f>
        <v>16720</v>
      </c>
    </row>
    <row r="129" customFormat="false" ht="15" hidden="false" customHeight="false" outlineLevel="0" collapsed="false">
      <c r="A129" s="2" t="n">
        <v>128</v>
      </c>
      <c r="B129" s="3" t="s">
        <v>37</v>
      </c>
      <c r="C129" s="4" t="n">
        <v>2955</v>
      </c>
      <c r="D129" s="5" t="n">
        <v>46062</v>
      </c>
      <c r="E129" s="3" t="s">
        <v>105</v>
      </c>
      <c r="F129" s="2" t="str">
        <f aca="false">TEXT(D129,"mmmm")</f>
        <v>February</v>
      </c>
      <c r="G129" s="2" t="str">
        <f aca="false">INDEX('Product Summary'!$A$5:$A$24,MATCH(B129,'Product Summary'!$B$5:$B$24,0))</f>
        <v>PRD-1007</v>
      </c>
      <c r="H129" s="2" t="n">
        <v>6</v>
      </c>
      <c r="I129" s="6" t="n">
        <f aca="false">ROUND(J129*INDEX('Product Summary'!$E$5:$E$24,MATCH(B129,'Product Summary'!$B$5:$B$24,0)),2)</f>
        <v>5141.7</v>
      </c>
      <c r="J129" s="6" t="n">
        <f aca="false">C129*H129</f>
        <v>17730</v>
      </c>
    </row>
    <row r="130" customFormat="false" ht="15" hidden="false" customHeight="false" outlineLevel="0" collapsed="false">
      <c r="A130" s="2" t="n">
        <v>129</v>
      </c>
      <c r="B130" s="3" t="s">
        <v>18</v>
      </c>
      <c r="C130" s="4" t="n">
        <v>1885</v>
      </c>
      <c r="D130" s="5" t="n">
        <v>46062</v>
      </c>
      <c r="E130" s="3" t="s">
        <v>106</v>
      </c>
      <c r="F130" s="2" t="str">
        <f aca="false">TEXT(D130,"mmmm")</f>
        <v>February</v>
      </c>
      <c r="G130" s="2" t="str">
        <f aca="false">INDEX('Product Summary'!$A$5:$A$24,MATCH(B130,'Product Summary'!$B$5:$B$24,0))</f>
        <v>PRD-1003</v>
      </c>
      <c r="H130" s="2" t="n">
        <v>5</v>
      </c>
      <c r="I130" s="6" t="n">
        <f aca="false">ROUND(J130*INDEX('Product Summary'!$E$5:$E$24,MATCH(B130,'Product Summary'!$B$5:$B$24,0)),2)</f>
        <v>3298.75</v>
      </c>
      <c r="J130" s="6" t="n">
        <f aca="false">C130*H130</f>
        <v>9425</v>
      </c>
    </row>
    <row r="131" customFormat="false" ht="15" hidden="false" customHeight="false" outlineLevel="0" collapsed="false">
      <c r="A131" s="2" t="n">
        <v>130</v>
      </c>
      <c r="B131" s="3" t="s">
        <v>25</v>
      </c>
      <c r="C131" s="4" t="n">
        <v>19835</v>
      </c>
      <c r="D131" s="5" t="n">
        <v>46063</v>
      </c>
      <c r="E131" s="3" t="s">
        <v>94</v>
      </c>
      <c r="F131" s="2" t="str">
        <f aca="false">TEXT(D131,"mmmm")</f>
        <v>February</v>
      </c>
      <c r="G131" s="2" t="str">
        <f aca="false">INDEX('Product Summary'!$A$5:$A$24,MATCH(B131,'Product Summary'!$B$5:$B$24,0))</f>
        <v>PRD-1016</v>
      </c>
      <c r="H131" s="2" t="n">
        <v>1</v>
      </c>
      <c r="I131" s="6" t="n">
        <f aca="false">ROUND(J131*INDEX('Product Summary'!$E$5:$E$24,MATCH(B131,'Product Summary'!$B$5:$B$24,0)),2)</f>
        <v>3768.65</v>
      </c>
      <c r="J131" s="6" t="n">
        <f aca="false">C131*H131</f>
        <v>19835</v>
      </c>
    </row>
    <row r="132" customFormat="false" ht="15" hidden="false" customHeight="false" outlineLevel="0" collapsed="false">
      <c r="A132" s="2" t="n">
        <v>131</v>
      </c>
      <c r="B132" s="3" t="s">
        <v>34</v>
      </c>
      <c r="C132" s="4" t="n">
        <v>1865</v>
      </c>
      <c r="D132" s="5" t="n">
        <v>46063</v>
      </c>
      <c r="E132" s="3" t="s">
        <v>96</v>
      </c>
      <c r="F132" s="2" t="str">
        <f aca="false">TEXT(D132,"mmmm")</f>
        <v>February</v>
      </c>
      <c r="G132" s="2" t="str">
        <f aca="false">INDEX('Product Summary'!$A$5:$A$24,MATCH(B132,'Product Summary'!$B$5:$B$24,0))</f>
        <v>PRD-1006</v>
      </c>
      <c r="H132" s="2" t="n">
        <v>8</v>
      </c>
      <c r="I132" s="6" t="n">
        <f aca="false">ROUND(J132*INDEX('Product Summary'!$E$5:$E$24,MATCH(B132,'Product Summary'!$B$5:$B$24,0)),2)</f>
        <v>4028.4</v>
      </c>
      <c r="J132" s="6" t="n">
        <f aca="false">C132*H132</f>
        <v>14920</v>
      </c>
    </row>
    <row r="133" customFormat="false" ht="15" hidden="false" customHeight="false" outlineLevel="0" collapsed="false">
      <c r="A133" s="2" t="n">
        <v>132</v>
      </c>
      <c r="B133" s="3" t="s">
        <v>25</v>
      </c>
      <c r="C133" s="4" t="n">
        <v>18465</v>
      </c>
      <c r="D133" s="5" t="n">
        <v>46064</v>
      </c>
      <c r="E133" s="3" t="s">
        <v>90</v>
      </c>
      <c r="F133" s="2" t="str">
        <f aca="false">TEXT(D133,"mmmm")</f>
        <v>February</v>
      </c>
      <c r="G133" s="2" t="str">
        <f aca="false">INDEX('Product Summary'!$A$5:$A$24,MATCH(B133,'Product Summary'!$B$5:$B$24,0))</f>
        <v>PRD-1016</v>
      </c>
      <c r="H133" s="2" t="n">
        <v>1</v>
      </c>
      <c r="I133" s="6" t="n">
        <f aca="false">ROUND(J133*INDEX('Product Summary'!$E$5:$E$24,MATCH(B133,'Product Summary'!$B$5:$B$24,0)),2)</f>
        <v>3508.35</v>
      </c>
      <c r="J133" s="6" t="n">
        <f aca="false">C133*H133</f>
        <v>18465</v>
      </c>
    </row>
    <row r="134" customFormat="false" ht="15" hidden="false" customHeight="false" outlineLevel="0" collapsed="false">
      <c r="A134" s="2" t="n">
        <v>133</v>
      </c>
      <c r="B134" s="3" t="s">
        <v>45</v>
      </c>
      <c r="C134" s="4" t="n">
        <v>2530</v>
      </c>
      <c r="D134" s="5" t="n">
        <v>46066</v>
      </c>
      <c r="E134" s="3" t="s">
        <v>107</v>
      </c>
      <c r="F134" s="2" t="str">
        <f aca="false">TEXT(D134,"mmmm")</f>
        <v>February</v>
      </c>
      <c r="G134" s="2" t="str">
        <f aca="false">INDEX('Product Summary'!$A$5:$A$24,MATCH(B134,'Product Summary'!$B$5:$B$24,0))</f>
        <v>PRD-1010</v>
      </c>
      <c r="H134" s="2" t="n">
        <v>4</v>
      </c>
      <c r="I134" s="6" t="n">
        <f aca="false">ROUND(J134*INDEX('Product Summary'!$E$5:$E$24,MATCH(B134,'Product Summary'!$B$5:$B$24,0)),2)</f>
        <v>2530</v>
      </c>
      <c r="J134" s="6" t="n">
        <f aca="false">C134*H134</f>
        <v>10120</v>
      </c>
    </row>
    <row r="135" customFormat="false" ht="15" hidden="false" customHeight="false" outlineLevel="0" collapsed="false">
      <c r="A135" s="2" t="n">
        <v>134</v>
      </c>
      <c r="B135" s="3" t="s">
        <v>52</v>
      </c>
      <c r="C135" s="4" t="n">
        <v>3630</v>
      </c>
      <c r="D135" s="5" t="n">
        <v>46067</v>
      </c>
      <c r="E135" s="3" t="s">
        <v>108</v>
      </c>
      <c r="F135" s="2" t="str">
        <f aca="false">TEXT(D135,"mmmm")</f>
        <v>February</v>
      </c>
      <c r="G135" s="2" t="str">
        <f aca="false">INDEX('Product Summary'!$A$5:$A$24,MATCH(B135,'Product Summary'!$B$5:$B$24,0))</f>
        <v>PRD-1002</v>
      </c>
      <c r="H135" s="2" t="n">
        <v>5</v>
      </c>
      <c r="I135" s="6" t="n">
        <f aca="false">ROUND(J135*INDEX('Product Summary'!$E$5:$E$24,MATCH(B135,'Product Summary'!$B$5:$B$24,0)),2)</f>
        <v>5082</v>
      </c>
      <c r="J135" s="6" t="n">
        <f aca="false">C135*H135</f>
        <v>18150</v>
      </c>
    </row>
    <row r="136" customFormat="false" ht="15" hidden="false" customHeight="false" outlineLevel="0" collapsed="false">
      <c r="A136" s="2" t="n">
        <v>135</v>
      </c>
      <c r="B136" s="3" t="s">
        <v>37</v>
      </c>
      <c r="C136" s="4" t="n">
        <v>2895</v>
      </c>
      <c r="D136" s="5" t="n">
        <v>46067</v>
      </c>
      <c r="E136" s="3" t="s">
        <v>100</v>
      </c>
      <c r="F136" s="2" t="str">
        <f aca="false">TEXT(D136,"mmmm")</f>
        <v>February</v>
      </c>
      <c r="G136" s="2" t="str">
        <f aca="false">INDEX('Product Summary'!$A$5:$A$24,MATCH(B136,'Product Summary'!$B$5:$B$24,0))</f>
        <v>PRD-1007</v>
      </c>
      <c r="H136" s="2" t="n">
        <v>5</v>
      </c>
      <c r="I136" s="6" t="n">
        <f aca="false">ROUND(J136*INDEX('Product Summary'!$E$5:$E$24,MATCH(B136,'Product Summary'!$B$5:$B$24,0)),2)</f>
        <v>4197.75</v>
      </c>
      <c r="J136" s="6" t="n">
        <f aca="false">C136*H136</f>
        <v>14475</v>
      </c>
    </row>
    <row r="137" customFormat="false" ht="15" hidden="false" customHeight="false" outlineLevel="0" collapsed="false">
      <c r="A137" s="2" t="n">
        <v>136</v>
      </c>
      <c r="B137" s="3" t="s">
        <v>42</v>
      </c>
      <c r="C137" s="4" t="n">
        <v>1345</v>
      </c>
      <c r="D137" s="5" t="n">
        <v>46068</v>
      </c>
      <c r="E137" s="3" t="s">
        <v>71</v>
      </c>
      <c r="F137" s="2" t="str">
        <f aca="false">TEXT(D137,"mmmm")</f>
        <v>February</v>
      </c>
      <c r="G137" s="2" t="str">
        <f aca="false">INDEX('Product Summary'!$A$5:$A$24,MATCH(B137,'Product Summary'!$B$5:$B$24,0))</f>
        <v>PRD-1017</v>
      </c>
      <c r="H137" s="2" t="n">
        <v>6</v>
      </c>
      <c r="I137" s="6" t="n">
        <f aca="false">ROUND(J137*INDEX('Product Summary'!$E$5:$E$24,MATCH(B137,'Product Summary'!$B$5:$B$24,0)),2)</f>
        <v>3066.6</v>
      </c>
      <c r="J137" s="6" t="n">
        <f aca="false">C137*H137</f>
        <v>8070</v>
      </c>
    </row>
    <row r="138" customFormat="false" ht="15" hidden="false" customHeight="false" outlineLevel="0" collapsed="false">
      <c r="A138" s="2" t="n">
        <v>137</v>
      </c>
      <c r="B138" s="3" t="s">
        <v>52</v>
      </c>
      <c r="C138" s="4" t="n">
        <v>3505</v>
      </c>
      <c r="D138" s="5" t="n">
        <v>46068</v>
      </c>
      <c r="E138" s="3" t="s">
        <v>65</v>
      </c>
      <c r="F138" s="2" t="str">
        <f aca="false">TEXT(D138,"mmmm")</f>
        <v>February</v>
      </c>
      <c r="G138" s="2" t="str">
        <f aca="false">INDEX('Product Summary'!$A$5:$A$24,MATCH(B138,'Product Summary'!$B$5:$B$24,0))</f>
        <v>PRD-1002</v>
      </c>
      <c r="H138" s="2" t="n">
        <v>1</v>
      </c>
      <c r="I138" s="6" t="n">
        <f aca="false">ROUND(J138*INDEX('Product Summary'!$E$5:$E$24,MATCH(B138,'Product Summary'!$B$5:$B$24,0)),2)</f>
        <v>981.4</v>
      </c>
      <c r="J138" s="6" t="n">
        <f aca="false">C138*H138</f>
        <v>3505</v>
      </c>
    </row>
    <row r="139" customFormat="false" ht="15" hidden="false" customHeight="false" outlineLevel="0" collapsed="false">
      <c r="A139" s="2" t="n">
        <v>138</v>
      </c>
      <c r="B139" s="3" t="s">
        <v>45</v>
      </c>
      <c r="C139" s="4" t="n">
        <v>2415</v>
      </c>
      <c r="D139" s="5" t="n">
        <v>46068</v>
      </c>
      <c r="E139" s="3" t="s">
        <v>65</v>
      </c>
      <c r="F139" s="2" t="str">
        <f aca="false">TEXT(D139,"mmmm")</f>
        <v>February</v>
      </c>
      <c r="G139" s="2" t="str">
        <f aca="false">INDEX('Product Summary'!$A$5:$A$24,MATCH(B139,'Product Summary'!$B$5:$B$24,0))</f>
        <v>PRD-1010</v>
      </c>
      <c r="H139" s="2" t="n">
        <v>1</v>
      </c>
      <c r="I139" s="6" t="n">
        <f aca="false">ROUND(J139*INDEX('Product Summary'!$E$5:$E$24,MATCH(B139,'Product Summary'!$B$5:$B$24,0)),2)</f>
        <v>603.75</v>
      </c>
      <c r="J139" s="6" t="n">
        <f aca="false">C139*H139</f>
        <v>2415</v>
      </c>
    </row>
    <row r="140" customFormat="false" ht="15" hidden="false" customHeight="false" outlineLevel="0" collapsed="false">
      <c r="A140" s="2" t="n">
        <v>139</v>
      </c>
      <c r="B140" s="3" t="s">
        <v>22</v>
      </c>
      <c r="C140" s="4" t="n">
        <v>7995</v>
      </c>
      <c r="D140" s="5" t="n">
        <v>46069</v>
      </c>
      <c r="E140" s="3" t="s">
        <v>70</v>
      </c>
      <c r="F140" s="2" t="str">
        <f aca="false">TEXT(D140,"mmmm")</f>
        <v>February</v>
      </c>
      <c r="G140" s="2" t="str">
        <f aca="false">INDEX('Product Summary'!$A$5:$A$24,MATCH(B140,'Product Summary'!$B$5:$B$24,0))</f>
        <v>PRD-1008</v>
      </c>
      <c r="H140" s="2" t="n">
        <v>4</v>
      </c>
      <c r="I140" s="6" t="n">
        <f aca="false">ROUND(J140*INDEX('Product Summary'!$E$5:$E$24,MATCH(B140,'Product Summary'!$B$5:$B$24,0)),2)</f>
        <v>7675.2</v>
      </c>
      <c r="J140" s="6" t="n">
        <f aca="false">C140*H140</f>
        <v>31980</v>
      </c>
    </row>
    <row r="141" customFormat="false" ht="15" hidden="false" customHeight="false" outlineLevel="0" collapsed="false">
      <c r="A141" s="2" t="n">
        <v>140</v>
      </c>
      <c r="B141" s="3" t="s">
        <v>42</v>
      </c>
      <c r="C141" s="4" t="n">
        <v>1270</v>
      </c>
      <c r="D141" s="5" t="n">
        <v>46069</v>
      </c>
      <c r="E141" s="3" t="s">
        <v>47</v>
      </c>
      <c r="F141" s="2" t="str">
        <f aca="false">TEXT(D141,"mmmm")</f>
        <v>February</v>
      </c>
      <c r="G141" s="2" t="str">
        <f aca="false">INDEX('Product Summary'!$A$5:$A$24,MATCH(B141,'Product Summary'!$B$5:$B$24,0))</f>
        <v>PRD-1017</v>
      </c>
      <c r="H141" s="2" t="n">
        <v>4</v>
      </c>
      <c r="I141" s="6" t="n">
        <f aca="false">ROUND(J141*INDEX('Product Summary'!$E$5:$E$24,MATCH(B141,'Product Summary'!$B$5:$B$24,0)),2)</f>
        <v>1930.4</v>
      </c>
      <c r="J141" s="6" t="n">
        <f aca="false">C141*H141</f>
        <v>5080</v>
      </c>
    </row>
    <row r="142" customFormat="false" ht="15" hidden="false" customHeight="false" outlineLevel="0" collapsed="false">
      <c r="A142" s="2" t="n">
        <v>141</v>
      </c>
      <c r="B142" s="3" t="s">
        <v>52</v>
      </c>
      <c r="C142" s="4" t="n">
        <v>3255</v>
      </c>
      <c r="D142" s="5" t="n">
        <v>46070</v>
      </c>
      <c r="E142" s="3" t="s">
        <v>109</v>
      </c>
      <c r="F142" s="2" t="str">
        <f aca="false">TEXT(D142,"mmmm")</f>
        <v>February</v>
      </c>
      <c r="G142" s="2" t="str">
        <f aca="false">INDEX('Product Summary'!$A$5:$A$24,MATCH(B142,'Product Summary'!$B$5:$B$24,0))</f>
        <v>PRD-1002</v>
      </c>
      <c r="H142" s="2" t="n">
        <v>2</v>
      </c>
      <c r="I142" s="6" t="n">
        <f aca="false">ROUND(J142*INDEX('Product Summary'!$E$5:$E$24,MATCH(B142,'Product Summary'!$B$5:$B$24,0)),2)</f>
        <v>1822.8</v>
      </c>
      <c r="J142" s="6" t="n">
        <f aca="false">C142*H142</f>
        <v>6510</v>
      </c>
    </row>
    <row r="143" customFormat="false" ht="15" hidden="false" customHeight="false" outlineLevel="0" collapsed="false">
      <c r="A143" s="2" t="n">
        <v>142</v>
      </c>
      <c r="B143" s="3" t="s">
        <v>18</v>
      </c>
      <c r="C143" s="4" t="n">
        <v>1780</v>
      </c>
      <c r="D143" s="5" t="n">
        <v>46070</v>
      </c>
      <c r="E143" s="3" t="s">
        <v>110</v>
      </c>
      <c r="F143" s="2" t="str">
        <f aca="false">TEXT(D143,"mmmm")</f>
        <v>February</v>
      </c>
      <c r="G143" s="2" t="str">
        <f aca="false">INDEX('Product Summary'!$A$5:$A$24,MATCH(B143,'Product Summary'!$B$5:$B$24,0))</f>
        <v>PRD-1003</v>
      </c>
      <c r="H143" s="2" t="n">
        <v>3</v>
      </c>
      <c r="I143" s="6" t="n">
        <f aca="false">ROUND(J143*INDEX('Product Summary'!$E$5:$E$24,MATCH(B143,'Product Summary'!$B$5:$B$24,0)),2)</f>
        <v>1869</v>
      </c>
      <c r="J143" s="6" t="n">
        <f aca="false">C143*H143</f>
        <v>5340</v>
      </c>
    </row>
    <row r="144" customFormat="false" ht="15" hidden="false" customHeight="false" outlineLevel="0" collapsed="false">
      <c r="A144" s="2" t="n">
        <v>143</v>
      </c>
      <c r="B144" s="3" t="s">
        <v>64</v>
      </c>
      <c r="C144" s="4" t="n">
        <v>12600</v>
      </c>
      <c r="D144" s="5" t="n">
        <v>46072</v>
      </c>
      <c r="E144" s="3" t="s">
        <v>111</v>
      </c>
      <c r="F144" s="2" t="str">
        <f aca="false">TEXT(D144,"mmmm")</f>
        <v>February</v>
      </c>
      <c r="G144" s="2" t="str">
        <f aca="false">INDEX('Product Summary'!$A$5:$A$24,MATCH(B144,'Product Summary'!$B$5:$B$24,0))</f>
        <v>PRD-1014</v>
      </c>
      <c r="H144" s="2" t="n">
        <v>2</v>
      </c>
      <c r="I144" s="6" t="n">
        <f aca="false">ROUND(J144*INDEX('Product Summary'!$E$5:$E$24,MATCH(B144,'Product Summary'!$B$5:$B$24,0)),2)</f>
        <v>4032</v>
      </c>
      <c r="J144" s="6" t="n">
        <f aca="false">C144*H144</f>
        <v>25200</v>
      </c>
    </row>
    <row r="145" customFormat="false" ht="15" hidden="false" customHeight="false" outlineLevel="0" collapsed="false">
      <c r="A145" s="2" t="n">
        <v>144</v>
      </c>
      <c r="B145" s="3" t="s">
        <v>12</v>
      </c>
      <c r="C145" s="4" t="n">
        <v>820</v>
      </c>
      <c r="D145" s="5" t="n">
        <v>46072</v>
      </c>
      <c r="E145" s="3" t="s">
        <v>53</v>
      </c>
      <c r="F145" s="2" t="str">
        <f aca="false">TEXT(D145,"mmmm")</f>
        <v>February</v>
      </c>
      <c r="G145" s="2" t="str">
        <f aca="false">INDEX('Product Summary'!$A$5:$A$24,MATCH(B145,'Product Summary'!$B$5:$B$24,0))</f>
        <v>PRD-1001</v>
      </c>
      <c r="H145" s="2" t="n">
        <v>7</v>
      </c>
      <c r="I145" s="6" t="n">
        <f aca="false">ROUND(J145*INDEX('Product Summary'!$E$5:$E$24,MATCH(B145,'Product Summary'!$B$5:$B$24,0)),2)</f>
        <v>1836.8</v>
      </c>
      <c r="J145" s="6" t="n">
        <f aca="false">C145*H145</f>
        <v>5740</v>
      </c>
    </row>
    <row r="146" customFormat="false" ht="15" hidden="false" customHeight="false" outlineLevel="0" collapsed="false">
      <c r="A146" s="2" t="n">
        <v>145</v>
      </c>
      <c r="B146" s="3" t="s">
        <v>25</v>
      </c>
      <c r="C146" s="4" t="n">
        <v>19085</v>
      </c>
      <c r="D146" s="5" t="n">
        <v>46073</v>
      </c>
      <c r="E146" s="3" t="s">
        <v>100</v>
      </c>
      <c r="F146" s="2" t="str">
        <f aca="false">TEXT(D146,"mmmm")</f>
        <v>February</v>
      </c>
      <c r="G146" s="2" t="str">
        <f aca="false">INDEX('Product Summary'!$A$5:$A$24,MATCH(B146,'Product Summary'!$B$5:$B$24,0))</f>
        <v>PRD-1016</v>
      </c>
      <c r="H146" s="2" t="n">
        <v>1</v>
      </c>
      <c r="I146" s="6" t="n">
        <f aca="false">ROUND(J146*INDEX('Product Summary'!$E$5:$E$24,MATCH(B146,'Product Summary'!$B$5:$B$24,0)),2)</f>
        <v>3626.15</v>
      </c>
      <c r="J146" s="6" t="n">
        <f aca="false">C146*H146</f>
        <v>19085</v>
      </c>
    </row>
    <row r="147" customFormat="false" ht="15" hidden="false" customHeight="false" outlineLevel="0" collapsed="false">
      <c r="A147" s="2" t="n">
        <v>146</v>
      </c>
      <c r="B147" s="3" t="s">
        <v>48</v>
      </c>
      <c r="C147" s="4" t="n">
        <v>4150</v>
      </c>
      <c r="D147" s="5" t="n">
        <v>46074</v>
      </c>
      <c r="E147" s="3" t="s">
        <v>63</v>
      </c>
      <c r="F147" s="2" t="str">
        <f aca="false">TEXT(D147,"mmmm")</f>
        <v>February</v>
      </c>
      <c r="G147" s="2" t="str">
        <f aca="false">INDEX('Product Summary'!$A$5:$A$24,MATCH(B147,'Product Summary'!$B$5:$B$24,0))</f>
        <v>PRD-1013</v>
      </c>
      <c r="H147" s="2" t="n">
        <v>5</v>
      </c>
      <c r="I147" s="6" t="n">
        <f aca="false">ROUND(J147*INDEX('Product Summary'!$E$5:$E$24,MATCH(B147,'Product Summary'!$B$5:$B$24,0)),2)</f>
        <v>4980</v>
      </c>
      <c r="J147" s="6" t="n">
        <f aca="false">C147*H147</f>
        <v>20750</v>
      </c>
    </row>
    <row r="148" customFormat="false" ht="15" hidden="false" customHeight="false" outlineLevel="0" collapsed="false">
      <c r="A148" s="2" t="n">
        <v>147</v>
      </c>
      <c r="B148" s="3" t="s">
        <v>45</v>
      </c>
      <c r="C148" s="4" t="n">
        <v>2345</v>
      </c>
      <c r="D148" s="5" t="n">
        <v>46074</v>
      </c>
      <c r="E148" s="3" t="s">
        <v>26</v>
      </c>
      <c r="F148" s="2" t="str">
        <f aca="false">TEXT(D148,"mmmm")</f>
        <v>February</v>
      </c>
      <c r="G148" s="2" t="str">
        <f aca="false">INDEX('Product Summary'!$A$5:$A$24,MATCH(B148,'Product Summary'!$B$5:$B$24,0))</f>
        <v>PRD-1010</v>
      </c>
      <c r="H148" s="2" t="n">
        <v>3</v>
      </c>
      <c r="I148" s="6" t="n">
        <f aca="false">ROUND(J148*INDEX('Product Summary'!$E$5:$E$24,MATCH(B148,'Product Summary'!$B$5:$B$24,0)),2)</f>
        <v>1758.75</v>
      </c>
      <c r="J148" s="6" t="n">
        <f aca="false">C148*H148</f>
        <v>7035</v>
      </c>
    </row>
    <row r="149" customFormat="false" ht="15" hidden="false" customHeight="false" outlineLevel="0" collapsed="false">
      <c r="A149" s="2" t="n">
        <v>148</v>
      </c>
      <c r="B149" s="3" t="s">
        <v>60</v>
      </c>
      <c r="C149" s="4" t="n">
        <v>5790</v>
      </c>
      <c r="D149" s="5" t="n">
        <v>46075</v>
      </c>
      <c r="E149" s="3" t="s">
        <v>30</v>
      </c>
      <c r="F149" s="2" t="str">
        <f aca="false">TEXT(D149,"mmmm")</f>
        <v>February</v>
      </c>
      <c r="G149" s="2" t="str">
        <f aca="false">INDEX('Product Summary'!$A$5:$A$24,MATCH(B149,'Product Summary'!$B$5:$B$24,0))</f>
        <v>PRD-1009</v>
      </c>
      <c r="H149" s="2" t="n">
        <v>1</v>
      </c>
      <c r="I149" s="6" t="n">
        <f aca="false">ROUND(J149*INDEX('Product Summary'!$E$5:$E$24,MATCH(B149,'Product Summary'!$B$5:$B$24,0)),2)</f>
        <v>1273.8</v>
      </c>
      <c r="J149" s="6" t="n">
        <f aca="false">C149*H149</f>
        <v>5790</v>
      </c>
    </row>
    <row r="150" customFormat="false" ht="15" hidden="false" customHeight="false" outlineLevel="0" collapsed="false">
      <c r="A150" s="2" t="n">
        <v>149</v>
      </c>
      <c r="B150" s="3" t="s">
        <v>60</v>
      </c>
      <c r="C150" s="4" t="n">
        <v>5785</v>
      </c>
      <c r="D150" s="5" t="n">
        <v>46076</v>
      </c>
      <c r="E150" s="3" t="s">
        <v>32</v>
      </c>
      <c r="F150" s="2" t="str">
        <f aca="false">TEXT(D150,"mmmm")</f>
        <v>February</v>
      </c>
      <c r="G150" s="2" t="str">
        <f aca="false">INDEX('Product Summary'!$A$5:$A$24,MATCH(B150,'Product Summary'!$B$5:$B$24,0))</f>
        <v>PRD-1009</v>
      </c>
      <c r="H150" s="2" t="n">
        <v>5</v>
      </c>
      <c r="I150" s="6" t="n">
        <f aca="false">ROUND(J150*INDEX('Product Summary'!$E$5:$E$24,MATCH(B150,'Product Summary'!$B$5:$B$24,0)),2)</f>
        <v>6363.5</v>
      </c>
      <c r="J150" s="6" t="n">
        <f aca="false">C150*H150</f>
        <v>28925</v>
      </c>
    </row>
    <row r="151" customFormat="false" ht="15" hidden="false" customHeight="false" outlineLevel="0" collapsed="false">
      <c r="A151" s="2" t="n">
        <v>150</v>
      </c>
      <c r="B151" s="3" t="s">
        <v>18</v>
      </c>
      <c r="C151" s="4" t="n">
        <v>1710</v>
      </c>
      <c r="D151" s="5" t="n">
        <v>46076</v>
      </c>
      <c r="E151" s="3" t="s">
        <v>112</v>
      </c>
      <c r="F151" s="2" t="str">
        <f aca="false">TEXT(D151,"mmmm")</f>
        <v>February</v>
      </c>
      <c r="G151" s="2" t="str">
        <f aca="false">INDEX('Product Summary'!$A$5:$A$24,MATCH(B151,'Product Summary'!$B$5:$B$24,0))</f>
        <v>PRD-1003</v>
      </c>
      <c r="H151" s="2" t="n">
        <v>3</v>
      </c>
      <c r="I151" s="6" t="n">
        <f aca="false">ROUND(J151*INDEX('Product Summary'!$E$5:$E$24,MATCH(B151,'Product Summary'!$B$5:$B$24,0)),2)</f>
        <v>1795.5</v>
      </c>
      <c r="J151" s="6" t="n">
        <f aca="false">C151*H151</f>
        <v>5130</v>
      </c>
    </row>
    <row r="152" customFormat="false" ht="15" hidden="false" customHeight="false" outlineLevel="0" collapsed="false">
      <c r="A152" s="2" t="n">
        <v>151</v>
      </c>
      <c r="B152" s="3" t="s">
        <v>27</v>
      </c>
      <c r="C152" s="4" t="n">
        <v>2285</v>
      </c>
      <c r="D152" s="5" t="n">
        <v>46076</v>
      </c>
      <c r="E152" s="3" t="s">
        <v>51</v>
      </c>
      <c r="F152" s="2" t="str">
        <f aca="false">TEXT(D152,"mmmm")</f>
        <v>February</v>
      </c>
      <c r="G152" s="2" t="str">
        <f aca="false">INDEX('Product Summary'!$A$5:$A$24,MATCH(B152,'Product Summary'!$B$5:$B$24,0))</f>
        <v>PRD-1004</v>
      </c>
      <c r="H152" s="2" t="n">
        <v>5</v>
      </c>
      <c r="I152" s="6" t="n">
        <f aca="false">ROUND(J152*INDEX('Product Summary'!$E$5:$E$24,MATCH(B152,'Product Summary'!$B$5:$B$24,0)),2)</f>
        <v>3427.5</v>
      </c>
      <c r="J152" s="6" t="n">
        <f aca="false">C152*H152</f>
        <v>11425</v>
      </c>
    </row>
    <row r="153" customFormat="false" ht="15" hidden="false" customHeight="false" outlineLevel="0" collapsed="false">
      <c r="A153" s="2" t="n">
        <v>152</v>
      </c>
      <c r="B153" s="3" t="s">
        <v>22</v>
      </c>
      <c r="C153" s="4" t="n">
        <v>7570</v>
      </c>
      <c r="D153" s="5" t="n">
        <v>46076</v>
      </c>
      <c r="E153" s="3" t="s">
        <v>77</v>
      </c>
      <c r="F153" s="2" t="str">
        <f aca="false">TEXT(D153,"mmmm")</f>
        <v>February</v>
      </c>
      <c r="G153" s="2" t="str">
        <f aca="false">INDEX('Product Summary'!$A$5:$A$24,MATCH(B153,'Product Summary'!$B$5:$B$24,0))</f>
        <v>PRD-1008</v>
      </c>
      <c r="H153" s="2" t="n">
        <v>2</v>
      </c>
      <c r="I153" s="6" t="n">
        <f aca="false">ROUND(J153*INDEX('Product Summary'!$E$5:$E$24,MATCH(B153,'Product Summary'!$B$5:$B$24,0)),2)</f>
        <v>3633.6</v>
      </c>
      <c r="J153" s="6" t="n">
        <f aca="false">C153*H153</f>
        <v>15140</v>
      </c>
    </row>
    <row r="154" customFormat="false" ht="15" hidden="false" customHeight="false" outlineLevel="0" collapsed="false">
      <c r="A154" s="2" t="n">
        <v>153</v>
      </c>
      <c r="B154" s="3" t="s">
        <v>22</v>
      </c>
      <c r="C154" s="4" t="n">
        <v>7645</v>
      </c>
      <c r="D154" s="5" t="n">
        <v>46077</v>
      </c>
      <c r="E154" s="3" t="s">
        <v>32</v>
      </c>
      <c r="F154" s="2" t="str">
        <f aca="false">TEXT(D154,"mmmm")</f>
        <v>February</v>
      </c>
      <c r="G154" s="2" t="str">
        <f aca="false">INDEX('Product Summary'!$A$5:$A$24,MATCH(B154,'Product Summary'!$B$5:$B$24,0))</f>
        <v>PRD-1008</v>
      </c>
      <c r="H154" s="2" t="n">
        <v>1</v>
      </c>
      <c r="I154" s="6" t="n">
        <f aca="false">ROUND(J154*INDEX('Product Summary'!$E$5:$E$24,MATCH(B154,'Product Summary'!$B$5:$B$24,0)),2)</f>
        <v>1834.8</v>
      </c>
      <c r="J154" s="6" t="n">
        <f aca="false">C154*H154</f>
        <v>7645</v>
      </c>
    </row>
    <row r="155" customFormat="false" ht="15" hidden="false" customHeight="false" outlineLevel="0" collapsed="false">
      <c r="A155" s="2" t="n">
        <v>154</v>
      </c>
      <c r="B155" s="3" t="s">
        <v>37</v>
      </c>
      <c r="C155" s="4" t="n">
        <v>2865</v>
      </c>
      <c r="D155" s="5" t="n">
        <v>46077</v>
      </c>
      <c r="E155" s="3" t="s">
        <v>113</v>
      </c>
      <c r="F155" s="2" t="str">
        <f aca="false">TEXT(D155,"mmmm")</f>
        <v>February</v>
      </c>
      <c r="G155" s="2" t="str">
        <f aca="false">INDEX('Product Summary'!$A$5:$A$24,MATCH(B155,'Product Summary'!$B$5:$B$24,0))</f>
        <v>PRD-1007</v>
      </c>
      <c r="H155" s="2" t="n">
        <v>3</v>
      </c>
      <c r="I155" s="6" t="n">
        <f aca="false">ROUND(J155*INDEX('Product Summary'!$E$5:$E$24,MATCH(B155,'Product Summary'!$B$5:$B$24,0)),2)</f>
        <v>2492.55</v>
      </c>
      <c r="J155" s="6" t="n">
        <f aca="false">C155*H155</f>
        <v>8595</v>
      </c>
    </row>
    <row r="156" customFormat="false" ht="15" hidden="false" customHeight="false" outlineLevel="0" collapsed="false">
      <c r="A156" s="2" t="n">
        <v>155</v>
      </c>
      <c r="B156" s="3" t="s">
        <v>37</v>
      </c>
      <c r="C156" s="4" t="n">
        <v>3050</v>
      </c>
      <c r="D156" s="5" t="n">
        <v>46078</v>
      </c>
      <c r="E156" s="3" t="s">
        <v>98</v>
      </c>
      <c r="F156" s="2" t="str">
        <f aca="false">TEXT(D156,"mmmm")</f>
        <v>February</v>
      </c>
      <c r="G156" s="2" t="str">
        <f aca="false">INDEX('Product Summary'!$A$5:$A$24,MATCH(B156,'Product Summary'!$B$5:$B$24,0))</f>
        <v>PRD-1007</v>
      </c>
      <c r="H156" s="2" t="n">
        <v>6</v>
      </c>
      <c r="I156" s="6" t="n">
        <f aca="false">ROUND(J156*INDEX('Product Summary'!$E$5:$E$24,MATCH(B156,'Product Summary'!$B$5:$B$24,0)),2)</f>
        <v>5307</v>
      </c>
      <c r="J156" s="6" t="n">
        <f aca="false">C156*H156</f>
        <v>18300</v>
      </c>
    </row>
    <row r="157" customFormat="false" ht="15" hidden="false" customHeight="false" outlineLevel="0" collapsed="false">
      <c r="A157" s="2" t="n">
        <v>156</v>
      </c>
      <c r="B157" s="3" t="s">
        <v>43</v>
      </c>
      <c r="C157" s="4" t="n">
        <v>11405</v>
      </c>
      <c r="D157" s="5" t="n">
        <v>46079</v>
      </c>
      <c r="E157" s="3" t="s">
        <v>21</v>
      </c>
      <c r="F157" s="2" t="str">
        <f aca="false">TEXT(D157,"mmmm")</f>
        <v>February</v>
      </c>
      <c r="G157" s="2" t="str">
        <f aca="false">INDEX('Product Summary'!$A$5:$A$24,MATCH(B157,'Product Summary'!$B$5:$B$24,0))</f>
        <v>PRD-1015</v>
      </c>
      <c r="H157" s="2" t="n">
        <v>1</v>
      </c>
      <c r="I157" s="6" t="n">
        <f aca="false">ROUND(J157*INDEX('Product Summary'!$E$5:$E$24,MATCH(B157,'Product Summary'!$B$5:$B$24,0)),2)</f>
        <v>2281</v>
      </c>
      <c r="J157" s="6" t="n">
        <f aca="false">C157*H157</f>
        <v>11405</v>
      </c>
    </row>
    <row r="158" customFormat="false" ht="15" hidden="false" customHeight="false" outlineLevel="0" collapsed="false">
      <c r="A158" s="2" t="n">
        <v>157</v>
      </c>
      <c r="B158" s="3" t="s">
        <v>60</v>
      </c>
      <c r="C158" s="4" t="n">
        <v>5900</v>
      </c>
      <c r="D158" s="5" t="n">
        <v>46080</v>
      </c>
      <c r="E158" s="3" t="s">
        <v>107</v>
      </c>
      <c r="F158" s="2" t="str">
        <f aca="false">TEXT(D158,"mmmm")</f>
        <v>February</v>
      </c>
      <c r="G158" s="2" t="str">
        <f aca="false">INDEX('Product Summary'!$A$5:$A$24,MATCH(B158,'Product Summary'!$B$5:$B$24,0))</f>
        <v>PRD-1009</v>
      </c>
      <c r="H158" s="2" t="n">
        <v>5</v>
      </c>
      <c r="I158" s="6" t="n">
        <f aca="false">ROUND(J158*INDEX('Product Summary'!$E$5:$E$24,MATCH(B158,'Product Summary'!$B$5:$B$24,0)),2)</f>
        <v>6490</v>
      </c>
      <c r="J158" s="6" t="n">
        <f aca="false">C158*H158</f>
        <v>29500</v>
      </c>
    </row>
    <row r="159" customFormat="false" ht="15" hidden="false" customHeight="false" outlineLevel="0" collapsed="false">
      <c r="A159" s="2" t="n">
        <v>158</v>
      </c>
      <c r="B159" s="3" t="s">
        <v>60</v>
      </c>
      <c r="C159" s="4" t="n">
        <v>6290</v>
      </c>
      <c r="D159" s="5" t="n">
        <v>46080</v>
      </c>
      <c r="E159" s="3" t="s">
        <v>70</v>
      </c>
      <c r="F159" s="2" t="str">
        <f aca="false">TEXT(D159,"mmmm")</f>
        <v>February</v>
      </c>
      <c r="G159" s="2" t="str">
        <f aca="false">INDEX('Product Summary'!$A$5:$A$24,MATCH(B159,'Product Summary'!$B$5:$B$24,0))</f>
        <v>PRD-1009</v>
      </c>
      <c r="H159" s="2" t="n">
        <v>2</v>
      </c>
      <c r="I159" s="6" t="n">
        <f aca="false">ROUND(J159*INDEX('Product Summary'!$E$5:$E$24,MATCH(B159,'Product Summary'!$B$5:$B$24,0)),2)</f>
        <v>2767.6</v>
      </c>
      <c r="J159" s="6" t="n">
        <f aca="false">C159*H159</f>
        <v>12580</v>
      </c>
    </row>
    <row r="160" customFormat="false" ht="15" hidden="false" customHeight="false" outlineLevel="0" collapsed="false">
      <c r="A160" s="2" t="n">
        <v>159</v>
      </c>
      <c r="B160" s="3" t="s">
        <v>27</v>
      </c>
      <c r="C160" s="4" t="n">
        <v>2310</v>
      </c>
      <c r="D160" s="5" t="n">
        <v>46081</v>
      </c>
      <c r="E160" s="3" t="s">
        <v>92</v>
      </c>
      <c r="F160" s="2" t="str">
        <f aca="false">TEXT(D160,"mmmm")</f>
        <v>February</v>
      </c>
      <c r="G160" s="2" t="str">
        <f aca="false">INDEX('Product Summary'!$A$5:$A$24,MATCH(B160,'Product Summary'!$B$5:$B$24,0))</f>
        <v>PRD-1004</v>
      </c>
      <c r="H160" s="2" t="n">
        <v>4</v>
      </c>
      <c r="I160" s="6" t="n">
        <f aca="false">ROUND(J160*INDEX('Product Summary'!$E$5:$E$24,MATCH(B160,'Product Summary'!$B$5:$B$24,0)),2)</f>
        <v>2772</v>
      </c>
      <c r="J160" s="6" t="n">
        <f aca="false">C160*H160</f>
        <v>9240</v>
      </c>
    </row>
    <row r="161" customFormat="false" ht="15" hidden="false" customHeight="false" outlineLevel="0" collapsed="false">
      <c r="A161" s="2" t="n">
        <v>160</v>
      </c>
      <c r="B161" s="3" t="s">
        <v>31</v>
      </c>
      <c r="C161" s="4" t="n">
        <v>25955</v>
      </c>
      <c r="D161" s="5" t="n">
        <v>46081</v>
      </c>
      <c r="E161" s="3" t="s">
        <v>114</v>
      </c>
      <c r="F161" s="2" t="str">
        <f aca="false">TEXT(D161,"mmmm")</f>
        <v>February</v>
      </c>
      <c r="G161" s="2" t="str">
        <f aca="false">INDEX('Product Summary'!$A$5:$A$24,MATCH(B161,'Product Summary'!$B$5:$B$24,0))</f>
        <v>PRD-1020</v>
      </c>
      <c r="H161" s="2" t="n">
        <v>3</v>
      </c>
      <c r="I161" s="6" t="n">
        <f aca="false">ROUND(J161*INDEX('Product Summary'!$E$5:$E$24,MATCH(B161,'Product Summary'!$B$5:$B$24,0)),2)</f>
        <v>7786.5</v>
      </c>
      <c r="J161" s="6" t="n">
        <f aca="false">C161*H161</f>
        <v>77865</v>
      </c>
    </row>
    <row r="162" customFormat="false" ht="15" hidden="false" customHeight="false" outlineLevel="0" collapsed="false">
      <c r="A162" s="2" t="n">
        <v>161</v>
      </c>
      <c r="B162" s="3" t="s">
        <v>45</v>
      </c>
      <c r="C162" s="4" t="n">
        <v>2525</v>
      </c>
      <c r="D162" s="5" t="n">
        <v>46082</v>
      </c>
      <c r="E162" s="3" t="s">
        <v>87</v>
      </c>
      <c r="F162" s="2" t="str">
        <f aca="false">TEXT(D162,"mmmm")</f>
        <v>March</v>
      </c>
      <c r="G162" s="2" t="str">
        <f aca="false">INDEX('Product Summary'!$A$5:$A$24,MATCH(B162,'Product Summary'!$B$5:$B$24,0))</f>
        <v>PRD-1010</v>
      </c>
      <c r="H162" s="2" t="n">
        <v>5</v>
      </c>
      <c r="I162" s="6" t="n">
        <f aca="false">ROUND(J162*INDEX('Product Summary'!$E$5:$E$24,MATCH(B162,'Product Summary'!$B$5:$B$24,0)),2)</f>
        <v>3156.25</v>
      </c>
      <c r="J162" s="6" t="n">
        <f aca="false">C162*H162</f>
        <v>12625</v>
      </c>
    </row>
    <row r="163" customFormat="false" ht="15" hidden="false" customHeight="false" outlineLevel="0" collapsed="false">
      <c r="A163" s="2" t="n">
        <v>162</v>
      </c>
      <c r="B163" s="3" t="s">
        <v>45</v>
      </c>
      <c r="C163" s="4" t="n">
        <v>2475</v>
      </c>
      <c r="D163" s="5" t="n">
        <v>46083</v>
      </c>
      <c r="E163" s="3" t="s">
        <v>17</v>
      </c>
      <c r="F163" s="2" t="str">
        <f aca="false">TEXT(D163,"mmmm")</f>
        <v>March</v>
      </c>
      <c r="G163" s="2" t="str">
        <f aca="false">INDEX('Product Summary'!$A$5:$A$24,MATCH(B163,'Product Summary'!$B$5:$B$24,0))</f>
        <v>PRD-1010</v>
      </c>
      <c r="H163" s="2" t="n">
        <v>6</v>
      </c>
      <c r="I163" s="6" t="n">
        <f aca="false">ROUND(J163*INDEX('Product Summary'!$E$5:$E$24,MATCH(B163,'Product Summary'!$B$5:$B$24,0)),2)</f>
        <v>3712.5</v>
      </c>
      <c r="J163" s="6" t="n">
        <f aca="false">C163*H163</f>
        <v>14850</v>
      </c>
    </row>
    <row r="164" customFormat="false" ht="15" hidden="false" customHeight="false" outlineLevel="0" collapsed="false">
      <c r="A164" s="2" t="n">
        <v>163</v>
      </c>
      <c r="B164" s="3" t="s">
        <v>42</v>
      </c>
      <c r="C164" s="4" t="n">
        <v>1195</v>
      </c>
      <c r="D164" s="5" t="n">
        <v>46084</v>
      </c>
      <c r="E164" s="3" t="s">
        <v>79</v>
      </c>
      <c r="F164" s="2" t="str">
        <f aca="false">TEXT(D164,"mmmm")</f>
        <v>March</v>
      </c>
      <c r="G164" s="2" t="str">
        <f aca="false">INDEX('Product Summary'!$A$5:$A$24,MATCH(B164,'Product Summary'!$B$5:$B$24,0))</f>
        <v>PRD-1017</v>
      </c>
      <c r="H164" s="2" t="n">
        <v>7</v>
      </c>
      <c r="I164" s="6" t="n">
        <f aca="false">ROUND(J164*INDEX('Product Summary'!$E$5:$E$24,MATCH(B164,'Product Summary'!$B$5:$B$24,0)),2)</f>
        <v>3178.7</v>
      </c>
      <c r="J164" s="6" t="n">
        <f aca="false">C164*H164</f>
        <v>8365</v>
      </c>
    </row>
    <row r="165" customFormat="false" ht="15" hidden="false" customHeight="false" outlineLevel="0" collapsed="false">
      <c r="A165" s="2" t="n">
        <v>164</v>
      </c>
      <c r="B165" s="3" t="s">
        <v>25</v>
      </c>
      <c r="C165" s="4" t="n">
        <v>18750</v>
      </c>
      <c r="D165" s="5" t="n">
        <v>46085</v>
      </c>
      <c r="E165" s="3" t="s">
        <v>75</v>
      </c>
      <c r="F165" s="2" t="str">
        <f aca="false">TEXT(D165,"mmmm")</f>
        <v>March</v>
      </c>
      <c r="G165" s="2" t="str">
        <f aca="false">INDEX('Product Summary'!$A$5:$A$24,MATCH(B165,'Product Summary'!$B$5:$B$24,0))</f>
        <v>PRD-1016</v>
      </c>
      <c r="H165" s="2" t="n">
        <v>1</v>
      </c>
      <c r="I165" s="6" t="n">
        <f aca="false">ROUND(J165*INDEX('Product Summary'!$E$5:$E$24,MATCH(B165,'Product Summary'!$B$5:$B$24,0)),2)</f>
        <v>3562.5</v>
      </c>
      <c r="J165" s="6" t="n">
        <f aca="false">C165*H165</f>
        <v>18750</v>
      </c>
    </row>
    <row r="166" customFormat="false" ht="15" hidden="false" customHeight="false" outlineLevel="0" collapsed="false">
      <c r="A166" s="2" t="n">
        <v>165</v>
      </c>
      <c r="B166" s="3" t="s">
        <v>104</v>
      </c>
      <c r="C166" s="4" t="n">
        <v>8160</v>
      </c>
      <c r="D166" s="5" t="n">
        <v>46087</v>
      </c>
      <c r="E166" s="3" t="s">
        <v>109</v>
      </c>
      <c r="F166" s="2" t="str">
        <f aca="false">TEXT(D166,"mmmm")</f>
        <v>March</v>
      </c>
      <c r="G166" s="2" t="str">
        <f aca="false">INDEX('Product Summary'!$A$5:$A$24,MATCH(B166,'Product Summary'!$B$5:$B$24,0))</f>
        <v>PRD-1012</v>
      </c>
      <c r="H166" s="2" t="n">
        <v>3</v>
      </c>
      <c r="I166" s="6" t="n">
        <f aca="false">ROUND(J166*INDEX('Product Summary'!$E$5:$E$24,MATCH(B166,'Product Summary'!$B$5:$B$24,0)),2)</f>
        <v>4406.4</v>
      </c>
      <c r="J166" s="6" t="n">
        <f aca="false">C166*H166</f>
        <v>24480</v>
      </c>
    </row>
    <row r="167" customFormat="false" ht="15" hidden="false" customHeight="false" outlineLevel="0" collapsed="false">
      <c r="A167" s="2" t="n">
        <v>166</v>
      </c>
      <c r="B167" s="3" t="s">
        <v>10</v>
      </c>
      <c r="C167" s="4" t="n">
        <v>16710</v>
      </c>
      <c r="D167" s="5" t="n">
        <v>46088</v>
      </c>
      <c r="E167" s="3" t="s">
        <v>115</v>
      </c>
      <c r="F167" s="2" t="str">
        <f aca="false">TEXT(D167,"mmmm")</f>
        <v>March</v>
      </c>
      <c r="G167" s="2" t="str">
        <f aca="false">INDEX('Product Summary'!$A$5:$A$24,MATCH(B167,'Product Summary'!$B$5:$B$24,0))</f>
        <v>PRD-1011</v>
      </c>
      <c r="H167" s="2" t="n">
        <v>2</v>
      </c>
      <c r="I167" s="6" t="n">
        <f aca="false">ROUND(J167*INDEX('Product Summary'!$E$5:$E$24,MATCH(B167,'Product Summary'!$B$5:$B$24,0)),2)</f>
        <v>5013</v>
      </c>
      <c r="J167" s="6" t="n">
        <f aca="false">C167*H167</f>
        <v>33420</v>
      </c>
    </row>
    <row r="168" customFormat="false" ht="15" hidden="false" customHeight="false" outlineLevel="0" collapsed="false">
      <c r="A168" s="2" t="n">
        <v>167</v>
      </c>
      <c r="B168" s="3" t="s">
        <v>14</v>
      </c>
      <c r="C168" s="4" t="n">
        <v>2805</v>
      </c>
      <c r="D168" s="5" t="n">
        <v>46089</v>
      </c>
      <c r="E168" s="3" t="s">
        <v>116</v>
      </c>
      <c r="F168" s="2" t="str">
        <f aca="false">TEXT(D168,"mmmm")</f>
        <v>March</v>
      </c>
      <c r="G168" s="2" t="str">
        <f aca="false">INDEX('Product Summary'!$A$5:$A$24,MATCH(B168,'Product Summary'!$B$5:$B$24,0))</f>
        <v>PRD-1005</v>
      </c>
      <c r="H168" s="2" t="n">
        <v>3</v>
      </c>
      <c r="I168" s="6" t="n">
        <f aca="false">ROUND(J168*INDEX('Product Summary'!$E$5:$E$24,MATCH(B168,'Product Summary'!$B$5:$B$24,0)),2)</f>
        <v>2187.9</v>
      </c>
      <c r="J168" s="6" t="n">
        <f aca="false">C168*H168</f>
        <v>8415</v>
      </c>
    </row>
    <row r="169" customFormat="false" ht="15" hidden="false" customHeight="false" outlineLevel="0" collapsed="false">
      <c r="A169" s="2" t="n">
        <v>168</v>
      </c>
      <c r="B169" s="3" t="s">
        <v>18</v>
      </c>
      <c r="C169" s="4" t="n">
        <v>1780</v>
      </c>
      <c r="D169" s="5" t="n">
        <v>46090</v>
      </c>
      <c r="E169" s="3" t="s">
        <v>13</v>
      </c>
      <c r="F169" s="2" t="str">
        <f aca="false">TEXT(D169,"mmmm")</f>
        <v>March</v>
      </c>
      <c r="G169" s="2" t="str">
        <f aca="false">INDEX('Product Summary'!$A$5:$A$24,MATCH(B169,'Product Summary'!$B$5:$B$24,0))</f>
        <v>PRD-1003</v>
      </c>
      <c r="H169" s="2" t="n">
        <v>3</v>
      </c>
      <c r="I169" s="6" t="n">
        <f aca="false">ROUND(J169*INDEX('Product Summary'!$E$5:$E$24,MATCH(B169,'Product Summary'!$B$5:$B$24,0)),2)</f>
        <v>1869</v>
      </c>
      <c r="J169" s="6" t="n">
        <f aca="false">C169*H169</f>
        <v>5340</v>
      </c>
    </row>
    <row r="170" customFormat="false" ht="15" hidden="false" customHeight="false" outlineLevel="0" collapsed="false">
      <c r="A170" s="2" t="n">
        <v>169</v>
      </c>
      <c r="B170" s="3" t="s">
        <v>42</v>
      </c>
      <c r="C170" s="4" t="n">
        <v>1360</v>
      </c>
      <c r="D170" s="5" t="n">
        <v>46090</v>
      </c>
      <c r="E170" s="3" t="s">
        <v>78</v>
      </c>
      <c r="F170" s="2" t="str">
        <f aca="false">TEXT(D170,"mmmm")</f>
        <v>March</v>
      </c>
      <c r="G170" s="2" t="str">
        <f aca="false">INDEX('Product Summary'!$A$5:$A$24,MATCH(B170,'Product Summary'!$B$5:$B$24,0))</f>
        <v>PRD-1017</v>
      </c>
      <c r="H170" s="2" t="n">
        <v>4</v>
      </c>
      <c r="I170" s="6" t="n">
        <f aca="false">ROUND(J170*INDEX('Product Summary'!$E$5:$E$24,MATCH(B170,'Product Summary'!$B$5:$B$24,0)),2)</f>
        <v>2067.2</v>
      </c>
      <c r="J170" s="6" t="n">
        <f aca="false">C170*H170</f>
        <v>5440</v>
      </c>
    </row>
    <row r="171" customFormat="false" ht="15" hidden="false" customHeight="false" outlineLevel="0" collapsed="false">
      <c r="A171" s="2" t="n">
        <v>170</v>
      </c>
      <c r="B171" s="3" t="s">
        <v>37</v>
      </c>
      <c r="C171" s="4" t="n">
        <v>2980</v>
      </c>
      <c r="D171" s="5" t="n">
        <v>46091</v>
      </c>
      <c r="E171" s="3" t="s">
        <v>39</v>
      </c>
      <c r="F171" s="2" t="str">
        <f aca="false">TEXT(D171,"mmmm")</f>
        <v>March</v>
      </c>
      <c r="G171" s="2" t="str">
        <f aca="false">INDEX('Product Summary'!$A$5:$A$24,MATCH(B171,'Product Summary'!$B$5:$B$24,0))</f>
        <v>PRD-1007</v>
      </c>
      <c r="H171" s="2" t="n">
        <v>2</v>
      </c>
      <c r="I171" s="6" t="n">
        <f aca="false">ROUND(J171*INDEX('Product Summary'!$E$5:$E$24,MATCH(B171,'Product Summary'!$B$5:$B$24,0)),2)</f>
        <v>1728.4</v>
      </c>
      <c r="J171" s="6" t="n">
        <f aca="false">C171*H171</f>
        <v>5960</v>
      </c>
    </row>
    <row r="172" customFormat="false" ht="15" hidden="false" customHeight="false" outlineLevel="0" collapsed="false">
      <c r="A172" s="2" t="n">
        <v>171</v>
      </c>
      <c r="B172" s="3" t="s">
        <v>31</v>
      </c>
      <c r="C172" s="4" t="n">
        <v>24195</v>
      </c>
      <c r="D172" s="5" t="n">
        <v>46094</v>
      </c>
      <c r="E172" s="3" t="s">
        <v>114</v>
      </c>
      <c r="F172" s="2" t="str">
        <f aca="false">TEXT(D172,"mmmm")</f>
        <v>March</v>
      </c>
      <c r="G172" s="2" t="str">
        <f aca="false">INDEX('Product Summary'!$A$5:$A$24,MATCH(B172,'Product Summary'!$B$5:$B$24,0))</f>
        <v>PRD-1020</v>
      </c>
      <c r="H172" s="2" t="n">
        <v>3</v>
      </c>
      <c r="I172" s="6" t="n">
        <f aca="false">ROUND(J172*INDEX('Product Summary'!$E$5:$E$24,MATCH(B172,'Product Summary'!$B$5:$B$24,0)),2)</f>
        <v>7258.5</v>
      </c>
      <c r="J172" s="6" t="n">
        <f aca="false">C172*H172</f>
        <v>72585</v>
      </c>
    </row>
    <row r="173" customFormat="false" ht="15" hidden="false" customHeight="false" outlineLevel="0" collapsed="false">
      <c r="A173" s="2" t="n">
        <v>172</v>
      </c>
      <c r="B173" s="3" t="s">
        <v>60</v>
      </c>
      <c r="C173" s="4" t="n">
        <v>6020</v>
      </c>
      <c r="D173" s="5" t="n">
        <v>46094</v>
      </c>
      <c r="E173" s="3" t="s">
        <v>30</v>
      </c>
      <c r="F173" s="2" t="str">
        <f aca="false">TEXT(D173,"mmmm")</f>
        <v>March</v>
      </c>
      <c r="G173" s="2" t="str">
        <f aca="false">INDEX('Product Summary'!$A$5:$A$24,MATCH(B173,'Product Summary'!$B$5:$B$24,0))</f>
        <v>PRD-1009</v>
      </c>
      <c r="H173" s="2" t="n">
        <v>5</v>
      </c>
      <c r="I173" s="6" t="n">
        <f aca="false">ROUND(J173*INDEX('Product Summary'!$E$5:$E$24,MATCH(B173,'Product Summary'!$B$5:$B$24,0)),2)</f>
        <v>6622</v>
      </c>
      <c r="J173" s="6" t="n">
        <f aca="false">C173*H173</f>
        <v>30100</v>
      </c>
    </row>
    <row r="174" customFormat="false" ht="15" hidden="false" customHeight="false" outlineLevel="0" collapsed="false">
      <c r="A174" s="2" t="n">
        <v>173</v>
      </c>
      <c r="B174" s="3" t="s">
        <v>52</v>
      </c>
      <c r="C174" s="4" t="n">
        <v>3665</v>
      </c>
      <c r="D174" s="5" t="n">
        <v>46095</v>
      </c>
      <c r="E174" s="3" t="s">
        <v>105</v>
      </c>
      <c r="F174" s="2" t="str">
        <f aca="false">TEXT(D174,"mmmm")</f>
        <v>March</v>
      </c>
      <c r="G174" s="2" t="str">
        <f aca="false">INDEX('Product Summary'!$A$5:$A$24,MATCH(B174,'Product Summary'!$B$5:$B$24,0))</f>
        <v>PRD-1002</v>
      </c>
      <c r="H174" s="2" t="n">
        <v>1</v>
      </c>
      <c r="I174" s="6" t="n">
        <f aca="false">ROUND(J174*INDEX('Product Summary'!$E$5:$E$24,MATCH(B174,'Product Summary'!$B$5:$B$24,0)),2)</f>
        <v>1026.2</v>
      </c>
      <c r="J174" s="6" t="n">
        <f aca="false">C174*H174</f>
        <v>3665</v>
      </c>
    </row>
    <row r="175" customFormat="false" ht="15" hidden="false" customHeight="false" outlineLevel="0" collapsed="false">
      <c r="A175" s="2" t="n">
        <v>174</v>
      </c>
      <c r="B175" s="3" t="s">
        <v>12</v>
      </c>
      <c r="C175" s="4" t="n">
        <v>820</v>
      </c>
      <c r="D175" s="5" t="n">
        <v>46095</v>
      </c>
      <c r="E175" s="3" t="s">
        <v>109</v>
      </c>
      <c r="F175" s="2" t="str">
        <f aca="false">TEXT(D175,"mmmm")</f>
        <v>March</v>
      </c>
      <c r="G175" s="2" t="str">
        <f aca="false">INDEX('Product Summary'!$A$5:$A$24,MATCH(B175,'Product Summary'!$B$5:$B$24,0))</f>
        <v>PRD-1001</v>
      </c>
      <c r="H175" s="2" t="n">
        <v>5</v>
      </c>
      <c r="I175" s="6" t="n">
        <f aca="false">ROUND(J175*INDEX('Product Summary'!$E$5:$E$24,MATCH(B175,'Product Summary'!$B$5:$B$24,0)),2)</f>
        <v>1312</v>
      </c>
      <c r="J175" s="6" t="n">
        <f aca="false">C175*H175</f>
        <v>4100</v>
      </c>
    </row>
    <row r="176" customFormat="false" ht="15" hidden="false" customHeight="false" outlineLevel="0" collapsed="false">
      <c r="A176" s="2" t="n">
        <v>175</v>
      </c>
      <c r="B176" s="3" t="s">
        <v>37</v>
      </c>
      <c r="C176" s="4" t="n">
        <v>2815</v>
      </c>
      <c r="D176" s="5" t="n">
        <v>46097</v>
      </c>
      <c r="E176" s="3" t="s">
        <v>117</v>
      </c>
      <c r="F176" s="2" t="str">
        <f aca="false">TEXT(D176,"mmmm")</f>
        <v>March</v>
      </c>
      <c r="G176" s="2" t="str">
        <f aca="false">INDEX('Product Summary'!$A$5:$A$24,MATCH(B176,'Product Summary'!$B$5:$B$24,0))</f>
        <v>PRD-1007</v>
      </c>
      <c r="H176" s="2" t="n">
        <v>4</v>
      </c>
      <c r="I176" s="6" t="n">
        <f aca="false">ROUND(J176*INDEX('Product Summary'!$E$5:$E$24,MATCH(B176,'Product Summary'!$B$5:$B$24,0)),2)</f>
        <v>3265.4</v>
      </c>
      <c r="J176" s="6" t="n">
        <f aca="false">C176*H176</f>
        <v>11260</v>
      </c>
    </row>
    <row r="177" customFormat="false" ht="15" hidden="false" customHeight="false" outlineLevel="0" collapsed="false">
      <c r="A177" s="2" t="n">
        <v>176</v>
      </c>
      <c r="B177" s="3" t="s">
        <v>18</v>
      </c>
      <c r="C177" s="4" t="n">
        <v>1770</v>
      </c>
      <c r="D177" s="5" t="n">
        <v>46099</v>
      </c>
      <c r="E177" s="3" t="s">
        <v>118</v>
      </c>
      <c r="F177" s="2" t="str">
        <f aca="false">TEXT(D177,"mmmm")</f>
        <v>March</v>
      </c>
      <c r="G177" s="2" t="str">
        <f aca="false">INDEX('Product Summary'!$A$5:$A$24,MATCH(B177,'Product Summary'!$B$5:$B$24,0))</f>
        <v>PRD-1003</v>
      </c>
      <c r="H177" s="2" t="n">
        <v>2</v>
      </c>
      <c r="I177" s="6" t="n">
        <f aca="false">ROUND(J177*INDEX('Product Summary'!$E$5:$E$24,MATCH(B177,'Product Summary'!$B$5:$B$24,0)),2)</f>
        <v>1239</v>
      </c>
      <c r="J177" s="6" t="n">
        <f aca="false">C177*H177</f>
        <v>3540</v>
      </c>
    </row>
    <row r="178" customFormat="false" ht="15" hidden="false" customHeight="false" outlineLevel="0" collapsed="false">
      <c r="A178" s="2" t="n">
        <v>177</v>
      </c>
      <c r="B178" s="3" t="s">
        <v>52</v>
      </c>
      <c r="C178" s="4" t="n">
        <v>3330</v>
      </c>
      <c r="D178" s="5" t="n">
        <v>46102</v>
      </c>
      <c r="E178" s="3" t="s">
        <v>83</v>
      </c>
      <c r="F178" s="2" t="str">
        <f aca="false">TEXT(D178,"mmmm")</f>
        <v>March</v>
      </c>
      <c r="G178" s="2" t="str">
        <f aca="false">INDEX('Product Summary'!$A$5:$A$24,MATCH(B178,'Product Summary'!$B$5:$B$24,0))</f>
        <v>PRD-1002</v>
      </c>
      <c r="H178" s="2" t="n">
        <v>6</v>
      </c>
      <c r="I178" s="6" t="n">
        <f aca="false">ROUND(J178*INDEX('Product Summary'!$E$5:$E$24,MATCH(B178,'Product Summary'!$B$5:$B$24,0)),2)</f>
        <v>5594.4</v>
      </c>
      <c r="J178" s="6" t="n">
        <f aca="false">C178*H178</f>
        <v>19980</v>
      </c>
    </row>
    <row r="179" customFormat="false" ht="15" hidden="false" customHeight="false" outlineLevel="0" collapsed="false">
      <c r="A179" s="2" t="n">
        <v>178</v>
      </c>
      <c r="B179" s="3" t="s">
        <v>45</v>
      </c>
      <c r="C179" s="4" t="n">
        <v>2325</v>
      </c>
      <c r="D179" s="5" t="n">
        <v>46104</v>
      </c>
      <c r="E179" s="3" t="s">
        <v>79</v>
      </c>
      <c r="F179" s="2" t="str">
        <f aca="false">TEXT(D179,"mmmm")</f>
        <v>March</v>
      </c>
      <c r="G179" s="2" t="str">
        <f aca="false">INDEX('Product Summary'!$A$5:$A$24,MATCH(B179,'Product Summary'!$B$5:$B$24,0))</f>
        <v>PRD-1010</v>
      </c>
      <c r="H179" s="2" t="n">
        <v>3</v>
      </c>
      <c r="I179" s="6" t="n">
        <f aca="false">ROUND(J179*INDEX('Product Summary'!$E$5:$E$24,MATCH(B179,'Product Summary'!$B$5:$B$24,0)),2)</f>
        <v>1743.75</v>
      </c>
      <c r="J179" s="6" t="n">
        <f aca="false">C179*H179</f>
        <v>6975</v>
      </c>
    </row>
    <row r="180" customFormat="false" ht="15" hidden="false" customHeight="false" outlineLevel="0" collapsed="false">
      <c r="A180" s="2" t="n">
        <v>179</v>
      </c>
      <c r="B180" s="3" t="s">
        <v>42</v>
      </c>
      <c r="C180" s="4" t="n">
        <v>1270</v>
      </c>
      <c r="D180" s="5" t="n">
        <v>46104</v>
      </c>
      <c r="E180" s="3" t="s">
        <v>41</v>
      </c>
      <c r="F180" s="2" t="str">
        <f aca="false">TEXT(D180,"mmmm")</f>
        <v>March</v>
      </c>
      <c r="G180" s="2" t="str">
        <f aca="false">INDEX('Product Summary'!$A$5:$A$24,MATCH(B180,'Product Summary'!$B$5:$B$24,0))</f>
        <v>PRD-1017</v>
      </c>
      <c r="H180" s="2" t="n">
        <v>7</v>
      </c>
      <c r="I180" s="6" t="n">
        <f aca="false">ROUND(J180*INDEX('Product Summary'!$E$5:$E$24,MATCH(B180,'Product Summary'!$B$5:$B$24,0)),2)</f>
        <v>3378.2</v>
      </c>
      <c r="J180" s="6" t="n">
        <f aca="false">C180*H180</f>
        <v>8890</v>
      </c>
    </row>
    <row r="181" customFormat="false" ht="15" hidden="false" customHeight="false" outlineLevel="0" collapsed="false">
      <c r="A181" s="2" t="n">
        <v>180</v>
      </c>
      <c r="B181" s="3" t="s">
        <v>42</v>
      </c>
      <c r="C181" s="4" t="n">
        <v>1310</v>
      </c>
      <c r="D181" s="5" t="n">
        <v>46105</v>
      </c>
      <c r="E181" s="3" t="s">
        <v>95</v>
      </c>
      <c r="F181" s="2" t="str">
        <f aca="false">TEXT(D181,"mmmm")</f>
        <v>March</v>
      </c>
      <c r="G181" s="2" t="str">
        <f aca="false">INDEX('Product Summary'!$A$5:$A$24,MATCH(B181,'Product Summary'!$B$5:$B$24,0))</f>
        <v>PRD-1017</v>
      </c>
      <c r="H181" s="2" t="n">
        <v>6</v>
      </c>
      <c r="I181" s="6" t="n">
        <f aca="false">ROUND(J181*INDEX('Product Summary'!$E$5:$E$24,MATCH(B181,'Product Summary'!$B$5:$B$24,0)),2)</f>
        <v>2986.8</v>
      </c>
      <c r="J181" s="6" t="n">
        <f aca="false">C181*H181</f>
        <v>7860</v>
      </c>
    </row>
    <row r="182" customFormat="false" ht="15" hidden="false" customHeight="false" outlineLevel="0" collapsed="false">
      <c r="A182" s="2" t="n">
        <v>181</v>
      </c>
      <c r="B182" s="3" t="s">
        <v>18</v>
      </c>
      <c r="C182" s="4" t="n">
        <v>1805</v>
      </c>
      <c r="D182" s="5" t="n">
        <v>46105</v>
      </c>
      <c r="E182" s="3" t="s">
        <v>83</v>
      </c>
      <c r="F182" s="2" t="str">
        <f aca="false">TEXT(D182,"mmmm")</f>
        <v>March</v>
      </c>
      <c r="G182" s="2" t="str">
        <f aca="false">INDEX('Product Summary'!$A$5:$A$24,MATCH(B182,'Product Summary'!$B$5:$B$24,0))</f>
        <v>PRD-1003</v>
      </c>
      <c r="H182" s="2" t="n">
        <v>7</v>
      </c>
      <c r="I182" s="6" t="n">
        <f aca="false">ROUND(J182*INDEX('Product Summary'!$E$5:$E$24,MATCH(B182,'Product Summary'!$B$5:$B$24,0)),2)</f>
        <v>4422.25</v>
      </c>
      <c r="J182" s="6" t="n">
        <f aca="false">C182*H182</f>
        <v>12635</v>
      </c>
    </row>
    <row r="183" customFormat="false" ht="15" hidden="false" customHeight="false" outlineLevel="0" collapsed="false">
      <c r="A183" s="2" t="n">
        <v>182</v>
      </c>
      <c r="B183" s="3" t="s">
        <v>12</v>
      </c>
      <c r="C183" s="4" t="n">
        <v>820</v>
      </c>
      <c r="D183" s="5" t="n">
        <v>46105</v>
      </c>
      <c r="E183" s="3" t="s">
        <v>114</v>
      </c>
      <c r="F183" s="2" t="str">
        <f aca="false">TEXT(D183,"mmmm")</f>
        <v>March</v>
      </c>
      <c r="G183" s="2" t="str">
        <f aca="false">INDEX('Product Summary'!$A$5:$A$24,MATCH(B183,'Product Summary'!$B$5:$B$24,0))</f>
        <v>PRD-1001</v>
      </c>
      <c r="H183" s="2" t="n">
        <v>2</v>
      </c>
      <c r="I183" s="6" t="n">
        <f aca="false">ROUND(J183*INDEX('Product Summary'!$E$5:$E$24,MATCH(B183,'Product Summary'!$B$5:$B$24,0)),2)</f>
        <v>524.8</v>
      </c>
      <c r="J183" s="6" t="n">
        <f aca="false">C183*H183</f>
        <v>1640</v>
      </c>
    </row>
    <row r="184" customFormat="false" ht="15" hidden="false" customHeight="false" outlineLevel="0" collapsed="false">
      <c r="A184" s="2" t="n">
        <v>183</v>
      </c>
      <c r="B184" s="3" t="s">
        <v>37</v>
      </c>
      <c r="C184" s="4" t="n">
        <v>2920</v>
      </c>
      <c r="D184" s="5" t="n">
        <v>46106</v>
      </c>
      <c r="E184" s="3" t="s">
        <v>83</v>
      </c>
      <c r="F184" s="2" t="str">
        <f aca="false">TEXT(D184,"mmmm")</f>
        <v>March</v>
      </c>
      <c r="G184" s="2" t="str">
        <f aca="false">INDEX('Product Summary'!$A$5:$A$24,MATCH(B184,'Product Summary'!$B$5:$B$24,0))</f>
        <v>PRD-1007</v>
      </c>
      <c r="H184" s="2" t="n">
        <v>2</v>
      </c>
      <c r="I184" s="6" t="n">
        <f aca="false">ROUND(J184*INDEX('Product Summary'!$E$5:$E$24,MATCH(B184,'Product Summary'!$B$5:$B$24,0)),2)</f>
        <v>1693.6</v>
      </c>
      <c r="J184" s="6" t="n">
        <f aca="false">C184*H184</f>
        <v>5840</v>
      </c>
    </row>
    <row r="185" customFormat="false" ht="15" hidden="false" customHeight="false" outlineLevel="0" collapsed="false">
      <c r="A185" s="2" t="n">
        <v>184</v>
      </c>
      <c r="B185" s="3" t="s">
        <v>52</v>
      </c>
      <c r="C185" s="4" t="n">
        <v>3325</v>
      </c>
      <c r="D185" s="5" t="n">
        <v>46106</v>
      </c>
      <c r="E185" s="3" t="s">
        <v>83</v>
      </c>
      <c r="F185" s="2" t="str">
        <f aca="false">TEXT(D185,"mmmm")</f>
        <v>March</v>
      </c>
      <c r="G185" s="2" t="str">
        <f aca="false">INDEX('Product Summary'!$A$5:$A$24,MATCH(B185,'Product Summary'!$B$5:$B$24,0))</f>
        <v>PRD-1002</v>
      </c>
      <c r="H185" s="2" t="n">
        <v>1</v>
      </c>
      <c r="I185" s="6" t="n">
        <f aca="false">ROUND(J185*INDEX('Product Summary'!$E$5:$E$24,MATCH(B185,'Product Summary'!$B$5:$B$24,0)),2)</f>
        <v>931</v>
      </c>
      <c r="J185" s="6" t="n">
        <f aca="false">C185*H185</f>
        <v>3325</v>
      </c>
    </row>
    <row r="186" customFormat="false" ht="15" hidden="false" customHeight="false" outlineLevel="0" collapsed="false">
      <c r="A186" s="2" t="n">
        <v>185</v>
      </c>
      <c r="B186" s="3" t="s">
        <v>34</v>
      </c>
      <c r="C186" s="4" t="n">
        <v>1890</v>
      </c>
      <c r="D186" s="5" t="n">
        <v>46107</v>
      </c>
      <c r="E186" s="3" t="s">
        <v>98</v>
      </c>
      <c r="F186" s="2" t="str">
        <f aca="false">TEXT(D186,"mmmm")</f>
        <v>March</v>
      </c>
      <c r="G186" s="2" t="str">
        <f aca="false">INDEX('Product Summary'!$A$5:$A$24,MATCH(B186,'Product Summary'!$B$5:$B$24,0))</f>
        <v>PRD-1006</v>
      </c>
      <c r="H186" s="2" t="n">
        <v>8</v>
      </c>
      <c r="I186" s="6" t="n">
        <f aca="false">ROUND(J186*INDEX('Product Summary'!$E$5:$E$24,MATCH(B186,'Product Summary'!$B$5:$B$24,0)),2)</f>
        <v>4082.4</v>
      </c>
      <c r="J186" s="6" t="n">
        <f aca="false">C186*H186</f>
        <v>15120</v>
      </c>
    </row>
    <row r="187" customFormat="false" ht="15" hidden="false" customHeight="false" outlineLevel="0" collapsed="false">
      <c r="A187" s="2" t="n">
        <v>186</v>
      </c>
      <c r="B187" s="3" t="s">
        <v>45</v>
      </c>
      <c r="C187" s="4" t="n">
        <v>2340</v>
      </c>
      <c r="D187" s="5" t="n">
        <v>46107</v>
      </c>
      <c r="E187" s="3" t="s">
        <v>46</v>
      </c>
      <c r="F187" s="2" t="str">
        <f aca="false">TEXT(D187,"mmmm")</f>
        <v>March</v>
      </c>
      <c r="G187" s="2" t="str">
        <f aca="false">INDEX('Product Summary'!$A$5:$A$24,MATCH(B187,'Product Summary'!$B$5:$B$24,0))</f>
        <v>PRD-1010</v>
      </c>
      <c r="H187" s="2" t="n">
        <v>1</v>
      </c>
      <c r="I187" s="6" t="n">
        <f aca="false">ROUND(J187*INDEX('Product Summary'!$E$5:$E$24,MATCH(B187,'Product Summary'!$B$5:$B$24,0)),2)</f>
        <v>585</v>
      </c>
      <c r="J187" s="6" t="n">
        <f aca="false">C187*H187</f>
        <v>2340</v>
      </c>
    </row>
    <row r="188" customFormat="false" ht="15" hidden="false" customHeight="false" outlineLevel="0" collapsed="false">
      <c r="A188" s="2" t="n">
        <v>187</v>
      </c>
      <c r="B188" s="3" t="s">
        <v>104</v>
      </c>
      <c r="C188" s="4" t="n">
        <v>8815</v>
      </c>
      <c r="D188" s="5" t="n">
        <v>46108</v>
      </c>
      <c r="E188" s="3" t="s">
        <v>119</v>
      </c>
      <c r="F188" s="2" t="str">
        <f aca="false">TEXT(D188,"mmmm")</f>
        <v>March</v>
      </c>
      <c r="G188" s="2" t="str">
        <f aca="false">INDEX('Product Summary'!$A$5:$A$24,MATCH(B188,'Product Summary'!$B$5:$B$24,0))</f>
        <v>PRD-1012</v>
      </c>
      <c r="H188" s="2" t="n">
        <v>3</v>
      </c>
      <c r="I188" s="6" t="n">
        <f aca="false">ROUND(J188*INDEX('Product Summary'!$E$5:$E$24,MATCH(B188,'Product Summary'!$B$5:$B$24,0)),2)</f>
        <v>4760.1</v>
      </c>
      <c r="J188" s="6" t="n">
        <f aca="false">C188*H188</f>
        <v>26445</v>
      </c>
    </row>
    <row r="189" customFormat="false" ht="15" hidden="false" customHeight="false" outlineLevel="0" collapsed="false">
      <c r="A189" s="2" t="n">
        <v>188</v>
      </c>
      <c r="B189" s="3" t="s">
        <v>10</v>
      </c>
      <c r="C189" s="4" t="n">
        <v>16545</v>
      </c>
      <c r="D189" s="5" t="n">
        <v>46108</v>
      </c>
      <c r="E189" s="3" t="s">
        <v>110</v>
      </c>
      <c r="F189" s="2" t="str">
        <f aca="false">TEXT(D189,"mmmm")</f>
        <v>March</v>
      </c>
      <c r="G189" s="2" t="str">
        <f aca="false">INDEX('Product Summary'!$A$5:$A$24,MATCH(B189,'Product Summary'!$B$5:$B$24,0))</f>
        <v>PRD-1011</v>
      </c>
      <c r="H189" s="2" t="n">
        <v>2</v>
      </c>
      <c r="I189" s="6" t="n">
        <f aca="false">ROUND(J189*INDEX('Product Summary'!$E$5:$E$24,MATCH(B189,'Product Summary'!$B$5:$B$24,0)),2)</f>
        <v>4963.5</v>
      </c>
      <c r="J189" s="6" t="n">
        <f aca="false">C189*H189</f>
        <v>33090</v>
      </c>
    </row>
    <row r="190" customFormat="false" ht="15" hidden="false" customHeight="false" outlineLevel="0" collapsed="false">
      <c r="A190" s="2" t="n">
        <v>189</v>
      </c>
      <c r="B190" s="3" t="s">
        <v>60</v>
      </c>
      <c r="C190" s="4" t="n">
        <v>5800</v>
      </c>
      <c r="D190" s="5" t="n">
        <v>46110</v>
      </c>
      <c r="E190" s="3" t="s">
        <v>120</v>
      </c>
      <c r="F190" s="2" t="str">
        <f aca="false">TEXT(D190,"mmmm")</f>
        <v>March</v>
      </c>
      <c r="G190" s="2" t="str">
        <f aca="false">INDEX('Product Summary'!$A$5:$A$24,MATCH(B190,'Product Summary'!$B$5:$B$24,0))</f>
        <v>PRD-1009</v>
      </c>
      <c r="H190" s="2" t="n">
        <v>3</v>
      </c>
      <c r="I190" s="6" t="n">
        <f aca="false">ROUND(J190*INDEX('Product Summary'!$E$5:$E$24,MATCH(B190,'Product Summary'!$B$5:$B$24,0)),2)</f>
        <v>3828</v>
      </c>
      <c r="J190" s="6" t="n">
        <f aca="false">C190*H190</f>
        <v>17400</v>
      </c>
    </row>
    <row r="191" customFormat="false" ht="15" hidden="false" customHeight="false" outlineLevel="0" collapsed="false">
      <c r="A191" s="2" t="n">
        <v>190</v>
      </c>
      <c r="B191" s="3" t="s">
        <v>52</v>
      </c>
      <c r="C191" s="4" t="n">
        <v>3385</v>
      </c>
      <c r="D191" s="5" t="n">
        <v>46110</v>
      </c>
      <c r="E191" s="3" t="s">
        <v>121</v>
      </c>
      <c r="F191" s="2" t="str">
        <f aca="false">TEXT(D191,"mmmm")</f>
        <v>March</v>
      </c>
      <c r="G191" s="2" t="str">
        <f aca="false">INDEX('Product Summary'!$A$5:$A$24,MATCH(B191,'Product Summary'!$B$5:$B$24,0))</f>
        <v>PRD-1002</v>
      </c>
      <c r="H191" s="2" t="n">
        <v>1</v>
      </c>
      <c r="I191" s="6" t="n">
        <f aca="false">ROUND(J191*INDEX('Product Summary'!$E$5:$E$24,MATCH(B191,'Product Summary'!$B$5:$B$24,0)),2)</f>
        <v>947.8</v>
      </c>
      <c r="J191" s="6" t="n">
        <f aca="false">C191*H191</f>
        <v>3385</v>
      </c>
    </row>
    <row r="192" customFormat="false" ht="15" hidden="false" customHeight="false" outlineLevel="0" collapsed="false">
      <c r="A192" s="2" t="n">
        <v>191</v>
      </c>
      <c r="B192" s="3" t="s">
        <v>104</v>
      </c>
      <c r="C192" s="4" t="n">
        <v>8360</v>
      </c>
      <c r="D192" s="5" t="n">
        <v>46111</v>
      </c>
      <c r="E192" s="3" t="s">
        <v>17</v>
      </c>
      <c r="F192" s="2" t="str">
        <f aca="false">TEXT(D192,"mmmm")</f>
        <v>March</v>
      </c>
      <c r="G192" s="2" t="str">
        <f aca="false">INDEX('Product Summary'!$A$5:$A$24,MATCH(B192,'Product Summary'!$B$5:$B$24,0))</f>
        <v>PRD-1012</v>
      </c>
      <c r="H192" s="2" t="n">
        <v>4</v>
      </c>
      <c r="I192" s="6" t="n">
        <f aca="false">ROUND(J192*INDEX('Product Summary'!$E$5:$E$24,MATCH(B192,'Product Summary'!$B$5:$B$24,0)),2)</f>
        <v>6019.2</v>
      </c>
      <c r="J192" s="6" t="n">
        <f aca="false">C192*H192</f>
        <v>33440</v>
      </c>
    </row>
    <row r="193" customFormat="false" ht="15" hidden="false" customHeight="false" outlineLevel="0" collapsed="false">
      <c r="A193" s="2" t="n">
        <v>192</v>
      </c>
      <c r="B193" s="3" t="s">
        <v>14</v>
      </c>
      <c r="C193" s="4" t="n">
        <v>2820</v>
      </c>
      <c r="D193" s="5" t="n">
        <v>46112</v>
      </c>
      <c r="E193" s="3" t="s">
        <v>98</v>
      </c>
      <c r="F193" s="2" t="str">
        <f aca="false">TEXT(D193,"mmmm")</f>
        <v>March</v>
      </c>
      <c r="G193" s="2" t="str">
        <f aca="false">INDEX('Product Summary'!$A$5:$A$24,MATCH(B193,'Product Summary'!$B$5:$B$24,0))</f>
        <v>PRD-1005</v>
      </c>
      <c r="H193" s="2" t="n">
        <v>2</v>
      </c>
      <c r="I193" s="6" t="n">
        <f aca="false">ROUND(J193*INDEX('Product Summary'!$E$5:$E$24,MATCH(B193,'Product Summary'!$B$5:$B$24,0)),2)</f>
        <v>1466.4</v>
      </c>
      <c r="J193" s="6" t="n">
        <f aca="false">C193*H193</f>
        <v>5640</v>
      </c>
    </row>
    <row r="194" customFormat="false" ht="15" hidden="false" customHeight="false" outlineLevel="0" collapsed="false">
      <c r="A194" s="2" t="n">
        <v>193</v>
      </c>
      <c r="B194" s="3" t="s">
        <v>22</v>
      </c>
      <c r="C194" s="4" t="n">
        <v>8225</v>
      </c>
      <c r="D194" s="5" t="n">
        <v>46113</v>
      </c>
      <c r="E194" s="3" t="s">
        <v>40</v>
      </c>
      <c r="F194" s="2" t="str">
        <f aca="false">TEXT(D194,"mmmm")</f>
        <v>April</v>
      </c>
      <c r="G194" s="2" t="str">
        <f aca="false">INDEX('Product Summary'!$A$5:$A$24,MATCH(B194,'Product Summary'!$B$5:$B$24,0))</f>
        <v>PRD-1008</v>
      </c>
      <c r="H194" s="2" t="n">
        <v>4</v>
      </c>
      <c r="I194" s="6" t="n">
        <f aca="false">ROUND(J194*INDEX('Product Summary'!$E$5:$E$24,MATCH(B194,'Product Summary'!$B$5:$B$24,0)),2)</f>
        <v>7896</v>
      </c>
      <c r="J194" s="6" t="n">
        <f aca="false">C194*H194</f>
        <v>32900</v>
      </c>
    </row>
    <row r="195" customFormat="false" ht="15" hidden="false" customHeight="false" outlineLevel="0" collapsed="false">
      <c r="A195" s="2" t="n">
        <v>194</v>
      </c>
      <c r="B195" s="3" t="s">
        <v>52</v>
      </c>
      <c r="C195" s="4" t="n">
        <v>3320</v>
      </c>
      <c r="D195" s="5" t="n">
        <v>46113</v>
      </c>
      <c r="E195" s="3" t="s">
        <v>26</v>
      </c>
      <c r="F195" s="2" t="str">
        <f aca="false">TEXT(D195,"mmmm")</f>
        <v>April</v>
      </c>
      <c r="G195" s="2" t="str">
        <f aca="false">INDEX('Product Summary'!$A$5:$A$24,MATCH(B195,'Product Summary'!$B$5:$B$24,0))</f>
        <v>PRD-1002</v>
      </c>
      <c r="H195" s="2" t="n">
        <v>6</v>
      </c>
      <c r="I195" s="6" t="n">
        <f aca="false">ROUND(J195*INDEX('Product Summary'!$E$5:$E$24,MATCH(B195,'Product Summary'!$B$5:$B$24,0)),2)</f>
        <v>5577.6</v>
      </c>
      <c r="J195" s="6" t="n">
        <f aca="false">C195*H195</f>
        <v>19920</v>
      </c>
    </row>
    <row r="196" customFormat="false" ht="15" hidden="false" customHeight="false" outlineLevel="0" collapsed="false">
      <c r="A196" s="2" t="n">
        <v>195</v>
      </c>
      <c r="B196" s="3" t="s">
        <v>60</v>
      </c>
      <c r="C196" s="4" t="n">
        <v>6290</v>
      </c>
      <c r="D196" s="5" t="n">
        <v>46114</v>
      </c>
      <c r="E196" s="3" t="s">
        <v>115</v>
      </c>
      <c r="F196" s="2" t="str">
        <f aca="false">TEXT(D196,"mmmm")</f>
        <v>April</v>
      </c>
      <c r="G196" s="2" t="str">
        <f aca="false">INDEX('Product Summary'!$A$5:$A$24,MATCH(B196,'Product Summary'!$B$5:$B$24,0))</f>
        <v>PRD-1009</v>
      </c>
      <c r="H196" s="2" t="n">
        <v>5</v>
      </c>
      <c r="I196" s="6" t="n">
        <f aca="false">ROUND(J196*INDEX('Product Summary'!$E$5:$E$24,MATCH(B196,'Product Summary'!$B$5:$B$24,0)),2)</f>
        <v>6919</v>
      </c>
      <c r="J196" s="6" t="n">
        <f aca="false">C196*H196</f>
        <v>31450</v>
      </c>
    </row>
    <row r="197" customFormat="false" ht="15" hidden="false" customHeight="false" outlineLevel="0" collapsed="false">
      <c r="A197" s="2" t="n">
        <v>196</v>
      </c>
      <c r="B197" s="3" t="s">
        <v>18</v>
      </c>
      <c r="C197" s="4" t="n">
        <v>1720</v>
      </c>
      <c r="D197" s="5" t="n">
        <v>46115</v>
      </c>
      <c r="E197" s="3" t="s">
        <v>122</v>
      </c>
      <c r="F197" s="2" t="str">
        <f aca="false">TEXT(D197,"mmmm")</f>
        <v>April</v>
      </c>
      <c r="G197" s="2" t="str">
        <f aca="false">INDEX('Product Summary'!$A$5:$A$24,MATCH(B197,'Product Summary'!$B$5:$B$24,0))</f>
        <v>PRD-1003</v>
      </c>
      <c r="H197" s="2" t="n">
        <v>5</v>
      </c>
      <c r="I197" s="6" t="n">
        <f aca="false">ROUND(J197*INDEX('Product Summary'!$E$5:$E$24,MATCH(B197,'Product Summary'!$B$5:$B$24,0)),2)</f>
        <v>3010</v>
      </c>
      <c r="J197" s="6" t="n">
        <f aca="false">C197*H197</f>
        <v>8600</v>
      </c>
    </row>
    <row r="198" customFormat="false" ht="15" hidden="false" customHeight="false" outlineLevel="0" collapsed="false">
      <c r="A198" s="2" t="n">
        <v>197</v>
      </c>
      <c r="B198" s="3" t="s">
        <v>12</v>
      </c>
      <c r="C198" s="4" t="n">
        <v>750</v>
      </c>
      <c r="D198" s="5" t="n">
        <v>46116</v>
      </c>
      <c r="E198" s="3" t="s">
        <v>50</v>
      </c>
      <c r="F198" s="2" t="str">
        <f aca="false">TEXT(D198,"mmmm")</f>
        <v>April</v>
      </c>
      <c r="G198" s="2" t="str">
        <f aca="false">INDEX('Product Summary'!$A$5:$A$24,MATCH(B198,'Product Summary'!$B$5:$B$24,0))</f>
        <v>PRD-1001</v>
      </c>
      <c r="H198" s="2" t="n">
        <v>3</v>
      </c>
      <c r="I198" s="6" t="n">
        <f aca="false">ROUND(J198*INDEX('Product Summary'!$E$5:$E$24,MATCH(B198,'Product Summary'!$B$5:$B$24,0)),2)</f>
        <v>720</v>
      </c>
      <c r="J198" s="6" t="n">
        <f aca="false">C198*H198</f>
        <v>2250</v>
      </c>
    </row>
    <row r="199" customFormat="false" ht="15" hidden="false" customHeight="false" outlineLevel="0" collapsed="false">
      <c r="A199" s="2" t="n">
        <v>198</v>
      </c>
      <c r="B199" s="3" t="s">
        <v>52</v>
      </c>
      <c r="C199" s="4" t="n">
        <v>3670</v>
      </c>
      <c r="D199" s="5" t="n">
        <v>46116</v>
      </c>
      <c r="E199" s="3" t="s">
        <v>19</v>
      </c>
      <c r="F199" s="2" t="str">
        <f aca="false">TEXT(D199,"mmmm")</f>
        <v>April</v>
      </c>
      <c r="G199" s="2" t="str">
        <f aca="false">INDEX('Product Summary'!$A$5:$A$24,MATCH(B199,'Product Summary'!$B$5:$B$24,0))</f>
        <v>PRD-1002</v>
      </c>
      <c r="H199" s="2" t="n">
        <v>1</v>
      </c>
      <c r="I199" s="6" t="n">
        <f aca="false">ROUND(J199*INDEX('Product Summary'!$E$5:$E$24,MATCH(B199,'Product Summary'!$B$5:$B$24,0)),2)</f>
        <v>1027.6</v>
      </c>
      <c r="J199" s="6" t="n">
        <f aca="false">C199*H199</f>
        <v>3670</v>
      </c>
    </row>
    <row r="200" customFormat="false" ht="15" hidden="false" customHeight="false" outlineLevel="0" collapsed="false">
      <c r="A200" s="2" t="n">
        <v>199</v>
      </c>
      <c r="B200" s="3" t="s">
        <v>12</v>
      </c>
      <c r="C200" s="4" t="n">
        <v>785</v>
      </c>
      <c r="D200" s="5" t="n">
        <v>46116</v>
      </c>
      <c r="E200" s="3" t="s">
        <v>80</v>
      </c>
      <c r="F200" s="2" t="str">
        <f aca="false">TEXT(D200,"mmmm")</f>
        <v>April</v>
      </c>
      <c r="G200" s="2" t="str">
        <f aca="false">INDEX('Product Summary'!$A$5:$A$24,MATCH(B200,'Product Summary'!$B$5:$B$24,0))</f>
        <v>PRD-1001</v>
      </c>
      <c r="H200" s="2" t="n">
        <v>7</v>
      </c>
      <c r="I200" s="6" t="n">
        <f aca="false">ROUND(J200*INDEX('Product Summary'!$E$5:$E$24,MATCH(B200,'Product Summary'!$B$5:$B$24,0)),2)</f>
        <v>1758.4</v>
      </c>
      <c r="J200" s="6" t="n">
        <f aca="false">C200*H200</f>
        <v>5495</v>
      </c>
    </row>
    <row r="201" customFormat="false" ht="15" hidden="false" customHeight="false" outlineLevel="0" collapsed="false">
      <c r="A201" s="2" t="n">
        <v>200</v>
      </c>
      <c r="B201" s="3" t="s">
        <v>27</v>
      </c>
      <c r="C201" s="4" t="n">
        <v>2305</v>
      </c>
      <c r="D201" s="5" t="n">
        <v>46116</v>
      </c>
      <c r="E201" s="3" t="s">
        <v>103</v>
      </c>
      <c r="F201" s="2" t="str">
        <f aca="false">TEXT(D201,"mmmm")</f>
        <v>April</v>
      </c>
      <c r="G201" s="2" t="str">
        <f aca="false">INDEX('Product Summary'!$A$5:$A$24,MATCH(B201,'Product Summary'!$B$5:$B$24,0))</f>
        <v>PRD-1004</v>
      </c>
      <c r="H201" s="2" t="n">
        <v>5</v>
      </c>
      <c r="I201" s="6" t="n">
        <f aca="false">ROUND(J201*INDEX('Product Summary'!$E$5:$E$24,MATCH(B201,'Product Summary'!$B$5:$B$24,0)),2)</f>
        <v>3457.5</v>
      </c>
      <c r="J201" s="6" t="n">
        <f aca="false">C201*H201</f>
        <v>11525</v>
      </c>
    </row>
    <row r="202" customFormat="false" ht="15" hidden="false" customHeight="false" outlineLevel="0" collapsed="false">
      <c r="A202" s="2" t="n">
        <v>201</v>
      </c>
      <c r="B202" s="3" t="s">
        <v>27</v>
      </c>
      <c r="C202" s="4" t="n">
        <v>2375</v>
      </c>
      <c r="D202" s="5" t="n">
        <v>46116</v>
      </c>
      <c r="E202" s="3" t="s">
        <v>69</v>
      </c>
      <c r="F202" s="2" t="str">
        <f aca="false">TEXT(D202,"mmmm")</f>
        <v>April</v>
      </c>
      <c r="G202" s="2" t="str">
        <f aca="false">INDEX('Product Summary'!$A$5:$A$24,MATCH(B202,'Product Summary'!$B$5:$B$24,0))</f>
        <v>PRD-1004</v>
      </c>
      <c r="H202" s="2" t="n">
        <v>1</v>
      </c>
      <c r="I202" s="6" t="n">
        <f aca="false">ROUND(J202*INDEX('Product Summary'!$E$5:$E$24,MATCH(B202,'Product Summary'!$B$5:$B$24,0)),2)</f>
        <v>712.5</v>
      </c>
      <c r="J202" s="6" t="n">
        <f aca="false">C202*H202</f>
        <v>2375</v>
      </c>
    </row>
    <row r="203" customFormat="false" ht="15" hidden="false" customHeight="false" outlineLevel="0" collapsed="false">
      <c r="A203" s="2" t="n">
        <v>202</v>
      </c>
      <c r="B203" s="3" t="s">
        <v>12</v>
      </c>
      <c r="C203" s="4" t="n">
        <v>830</v>
      </c>
      <c r="D203" s="5" t="n">
        <v>46116</v>
      </c>
      <c r="E203" s="3" t="s">
        <v>23</v>
      </c>
      <c r="F203" s="2" t="str">
        <f aca="false">TEXT(D203,"mmmm")</f>
        <v>April</v>
      </c>
      <c r="G203" s="2" t="str">
        <f aca="false">INDEX('Product Summary'!$A$5:$A$24,MATCH(B203,'Product Summary'!$B$5:$B$24,0))</f>
        <v>PRD-1001</v>
      </c>
      <c r="H203" s="2" t="n">
        <v>4</v>
      </c>
      <c r="I203" s="6" t="n">
        <f aca="false">ROUND(J203*INDEX('Product Summary'!$E$5:$E$24,MATCH(B203,'Product Summary'!$B$5:$B$24,0)),2)</f>
        <v>1062.4</v>
      </c>
      <c r="J203" s="6" t="n">
        <f aca="false">C203*H203</f>
        <v>3320</v>
      </c>
    </row>
    <row r="204" customFormat="false" ht="15" hidden="false" customHeight="false" outlineLevel="0" collapsed="false">
      <c r="A204" s="2" t="n">
        <v>203</v>
      </c>
      <c r="B204" s="3" t="s">
        <v>25</v>
      </c>
      <c r="C204" s="4" t="n">
        <v>19900</v>
      </c>
      <c r="D204" s="5" t="n">
        <v>46117</v>
      </c>
      <c r="E204" s="3" t="s">
        <v>56</v>
      </c>
      <c r="F204" s="2" t="str">
        <f aca="false">TEXT(D204,"mmmm")</f>
        <v>April</v>
      </c>
      <c r="G204" s="2" t="str">
        <f aca="false">INDEX('Product Summary'!$A$5:$A$24,MATCH(B204,'Product Summary'!$B$5:$B$24,0))</f>
        <v>PRD-1016</v>
      </c>
      <c r="H204" s="2" t="n">
        <v>1</v>
      </c>
      <c r="I204" s="6" t="n">
        <f aca="false">ROUND(J204*INDEX('Product Summary'!$E$5:$E$24,MATCH(B204,'Product Summary'!$B$5:$B$24,0)),2)</f>
        <v>3781</v>
      </c>
      <c r="J204" s="6" t="n">
        <f aca="false">C204*H204</f>
        <v>19900</v>
      </c>
    </row>
    <row r="205" customFormat="false" ht="15" hidden="false" customHeight="false" outlineLevel="0" collapsed="false">
      <c r="A205" s="2" t="n">
        <v>204</v>
      </c>
      <c r="B205" s="3" t="s">
        <v>37</v>
      </c>
      <c r="C205" s="4" t="n">
        <v>3010</v>
      </c>
      <c r="D205" s="5" t="n">
        <v>46117</v>
      </c>
      <c r="E205" s="3" t="s">
        <v>70</v>
      </c>
      <c r="F205" s="2" t="str">
        <f aca="false">TEXT(D205,"mmmm")</f>
        <v>April</v>
      </c>
      <c r="G205" s="2" t="str">
        <f aca="false">INDEX('Product Summary'!$A$5:$A$24,MATCH(B205,'Product Summary'!$B$5:$B$24,0))</f>
        <v>PRD-1007</v>
      </c>
      <c r="H205" s="2" t="n">
        <v>5</v>
      </c>
      <c r="I205" s="6" t="n">
        <f aca="false">ROUND(J205*INDEX('Product Summary'!$E$5:$E$24,MATCH(B205,'Product Summary'!$B$5:$B$24,0)),2)</f>
        <v>4364.5</v>
      </c>
      <c r="J205" s="6" t="n">
        <f aca="false">C205*H205</f>
        <v>15050</v>
      </c>
    </row>
    <row r="206" customFormat="false" ht="15" hidden="false" customHeight="false" outlineLevel="0" collapsed="false">
      <c r="A206" s="2" t="n">
        <v>205</v>
      </c>
      <c r="B206" s="3" t="s">
        <v>48</v>
      </c>
      <c r="C206" s="4" t="n">
        <v>3790</v>
      </c>
      <c r="D206" s="5" t="n">
        <v>46118</v>
      </c>
      <c r="E206" s="3" t="s">
        <v>118</v>
      </c>
      <c r="F206" s="2" t="str">
        <f aca="false">TEXT(D206,"mmmm")</f>
        <v>April</v>
      </c>
      <c r="G206" s="2" t="str">
        <f aca="false">INDEX('Product Summary'!$A$5:$A$24,MATCH(B206,'Product Summary'!$B$5:$B$24,0))</f>
        <v>PRD-1013</v>
      </c>
      <c r="H206" s="2" t="n">
        <v>4</v>
      </c>
      <c r="I206" s="6" t="n">
        <f aca="false">ROUND(J206*INDEX('Product Summary'!$E$5:$E$24,MATCH(B206,'Product Summary'!$B$5:$B$24,0)),2)</f>
        <v>3638.4</v>
      </c>
      <c r="J206" s="6" t="n">
        <f aca="false">C206*H206</f>
        <v>15160</v>
      </c>
    </row>
    <row r="207" customFormat="false" ht="15" hidden="false" customHeight="false" outlineLevel="0" collapsed="false">
      <c r="A207" s="2" t="n">
        <v>206</v>
      </c>
      <c r="B207" s="3" t="s">
        <v>10</v>
      </c>
      <c r="C207" s="4" t="n">
        <v>17585</v>
      </c>
      <c r="D207" s="5" t="n">
        <v>46119</v>
      </c>
      <c r="E207" s="3" t="s">
        <v>115</v>
      </c>
      <c r="F207" s="2" t="str">
        <f aca="false">TEXT(D207,"mmmm")</f>
        <v>April</v>
      </c>
      <c r="G207" s="2" t="str">
        <f aca="false">INDEX('Product Summary'!$A$5:$A$24,MATCH(B207,'Product Summary'!$B$5:$B$24,0))</f>
        <v>PRD-1011</v>
      </c>
      <c r="H207" s="2" t="n">
        <v>2</v>
      </c>
      <c r="I207" s="6" t="n">
        <f aca="false">ROUND(J207*INDEX('Product Summary'!$E$5:$E$24,MATCH(B207,'Product Summary'!$B$5:$B$24,0)),2)</f>
        <v>5275.5</v>
      </c>
      <c r="J207" s="6" t="n">
        <f aca="false">C207*H207</f>
        <v>35170</v>
      </c>
    </row>
    <row r="208" customFormat="false" ht="15" hidden="false" customHeight="false" outlineLevel="0" collapsed="false">
      <c r="A208" s="2" t="n">
        <v>207</v>
      </c>
      <c r="B208" s="3" t="s">
        <v>12</v>
      </c>
      <c r="C208" s="4" t="n">
        <v>835</v>
      </c>
      <c r="D208" s="5" t="n">
        <v>46120</v>
      </c>
      <c r="E208" s="3" t="s">
        <v>41</v>
      </c>
      <c r="F208" s="2" t="str">
        <f aca="false">TEXT(D208,"mmmm")</f>
        <v>April</v>
      </c>
      <c r="G208" s="2" t="str">
        <f aca="false">INDEX('Product Summary'!$A$5:$A$24,MATCH(B208,'Product Summary'!$B$5:$B$24,0))</f>
        <v>PRD-1001</v>
      </c>
      <c r="H208" s="2" t="n">
        <v>9</v>
      </c>
      <c r="I208" s="6" t="n">
        <f aca="false">ROUND(J208*INDEX('Product Summary'!$E$5:$E$24,MATCH(B208,'Product Summary'!$B$5:$B$24,0)),2)</f>
        <v>2404.8</v>
      </c>
      <c r="J208" s="6" t="n">
        <f aca="false">C208*H208</f>
        <v>7515</v>
      </c>
    </row>
    <row r="209" customFormat="false" ht="15" hidden="false" customHeight="false" outlineLevel="0" collapsed="false">
      <c r="A209" s="2" t="n">
        <v>208</v>
      </c>
      <c r="B209" s="3" t="s">
        <v>12</v>
      </c>
      <c r="C209" s="4" t="n">
        <v>775</v>
      </c>
      <c r="D209" s="5" t="n">
        <v>46123</v>
      </c>
      <c r="E209" s="3" t="s">
        <v>123</v>
      </c>
      <c r="F209" s="2" t="str">
        <f aca="false">TEXT(D209,"mmmm")</f>
        <v>April</v>
      </c>
      <c r="G209" s="2" t="str">
        <f aca="false">INDEX('Product Summary'!$A$5:$A$24,MATCH(B209,'Product Summary'!$B$5:$B$24,0))</f>
        <v>PRD-1001</v>
      </c>
      <c r="H209" s="2" t="n">
        <v>4</v>
      </c>
      <c r="I209" s="6" t="n">
        <f aca="false">ROUND(J209*INDEX('Product Summary'!$E$5:$E$24,MATCH(B209,'Product Summary'!$B$5:$B$24,0)),2)</f>
        <v>992</v>
      </c>
      <c r="J209" s="6" t="n">
        <f aca="false">C209*H209</f>
        <v>3100</v>
      </c>
    </row>
    <row r="210" customFormat="false" ht="15" hidden="false" customHeight="false" outlineLevel="0" collapsed="false">
      <c r="A210" s="2" t="n">
        <v>209</v>
      </c>
      <c r="B210" s="3" t="s">
        <v>12</v>
      </c>
      <c r="C210" s="4" t="n">
        <v>825</v>
      </c>
      <c r="D210" s="5" t="n">
        <v>46125</v>
      </c>
      <c r="E210" s="3" t="s">
        <v>97</v>
      </c>
      <c r="F210" s="2" t="str">
        <f aca="false">TEXT(D210,"mmmm")</f>
        <v>April</v>
      </c>
      <c r="G210" s="2" t="str">
        <f aca="false">INDEX('Product Summary'!$A$5:$A$24,MATCH(B210,'Product Summary'!$B$5:$B$24,0))</f>
        <v>PRD-1001</v>
      </c>
      <c r="H210" s="2" t="n">
        <v>4</v>
      </c>
      <c r="I210" s="6" t="n">
        <f aca="false">ROUND(J210*INDEX('Product Summary'!$E$5:$E$24,MATCH(B210,'Product Summary'!$B$5:$B$24,0)),2)</f>
        <v>1056</v>
      </c>
      <c r="J210" s="6" t="n">
        <f aca="false">C210*H210</f>
        <v>3300</v>
      </c>
    </row>
    <row r="211" customFormat="false" ht="15" hidden="false" customHeight="false" outlineLevel="0" collapsed="false">
      <c r="A211" s="2" t="n">
        <v>210</v>
      </c>
      <c r="B211" s="3" t="s">
        <v>60</v>
      </c>
      <c r="C211" s="4" t="n">
        <v>6055</v>
      </c>
      <c r="D211" s="5" t="n">
        <v>46125</v>
      </c>
      <c r="E211" s="3" t="s">
        <v>13</v>
      </c>
      <c r="F211" s="2" t="str">
        <f aca="false">TEXT(D211,"mmmm")</f>
        <v>April</v>
      </c>
      <c r="G211" s="2" t="str">
        <f aca="false">INDEX('Product Summary'!$A$5:$A$24,MATCH(B211,'Product Summary'!$B$5:$B$24,0))</f>
        <v>PRD-1009</v>
      </c>
      <c r="H211" s="2" t="n">
        <v>2</v>
      </c>
      <c r="I211" s="6" t="n">
        <f aca="false">ROUND(J211*INDEX('Product Summary'!$E$5:$E$24,MATCH(B211,'Product Summary'!$B$5:$B$24,0)),2)</f>
        <v>2664.2</v>
      </c>
      <c r="J211" s="6" t="n">
        <f aca="false">C211*H211</f>
        <v>12110</v>
      </c>
    </row>
    <row r="212" customFormat="false" ht="15" hidden="false" customHeight="false" outlineLevel="0" collapsed="false">
      <c r="A212" s="2" t="n">
        <v>211</v>
      </c>
      <c r="B212" s="3" t="s">
        <v>45</v>
      </c>
      <c r="C212" s="4" t="n">
        <v>2560</v>
      </c>
      <c r="D212" s="5" t="n">
        <v>46126</v>
      </c>
      <c r="E212" s="3" t="s">
        <v>67</v>
      </c>
      <c r="F212" s="2" t="str">
        <f aca="false">TEXT(D212,"mmmm")</f>
        <v>April</v>
      </c>
      <c r="G212" s="2" t="str">
        <f aca="false">INDEX('Product Summary'!$A$5:$A$24,MATCH(B212,'Product Summary'!$B$5:$B$24,0))</f>
        <v>PRD-1010</v>
      </c>
      <c r="H212" s="2" t="n">
        <v>3</v>
      </c>
      <c r="I212" s="6" t="n">
        <f aca="false">ROUND(J212*INDEX('Product Summary'!$E$5:$E$24,MATCH(B212,'Product Summary'!$B$5:$B$24,0)),2)</f>
        <v>1920</v>
      </c>
      <c r="J212" s="6" t="n">
        <f aca="false">C212*H212</f>
        <v>7680</v>
      </c>
    </row>
    <row r="213" customFormat="false" ht="15" hidden="false" customHeight="false" outlineLevel="0" collapsed="false">
      <c r="A213" s="2" t="n">
        <v>212</v>
      </c>
      <c r="B213" s="3" t="s">
        <v>52</v>
      </c>
      <c r="C213" s="4" t="n">
        <v>3610</v>
      </c>
      <c r="D213" s="5" t="n">
        <v>46126</v>
      </c>
      <c r="E213" s="3" t="s">
        <v>124</v>
      </c>
      <c r="F213" s="2" t="str">
        <f aca="false">TEXT(D213,"mmmm")</f>
        <v>April</v>
      </c>
      <c r="G213" s="2" t="str">
        <f aca="false">INDEX('Product Summary'!$A$5:$A$24,MATCH(B213,'Product Summary'!$B$5:$B$24,0))</f>
        <v>PRD-1002</v>
      </c>
      <c r="H213" s="2" t="n">
        <v>4</v>
      </c>
      <c r="I213" s="6" t="n">
        <f aca="false">ROUND(J213*INDEX('Product Summary'!$E$5:$E$24,MATCH(B213,'Product Summary'!$B$5:$B$24,0)),2)</f>
        <v>4043.2</v>
      </c>
      <c r="J213" s="6" t="n">
        <f aca="false">C213*H213</f>
        <v>14440</v>
      </c>
    </row>
    <row r="214" customFormat="false" ht="15" hidden="false" customHeight="false" outlineLevel="0" collapsed="false">
      <c r="A214" s="2" t="n">
        <v>213</v>
      </c>
      <c r="B214" s="3" t="s">
        <v>31</v>
      </c>
      <c r="C214" s="4" t="n">
        <v>25085</v>
      </c>
      <c r="D214" s="5" t="n">
        <v>46129</v>
      </c>
      <c r="E214" s="3" t="s">
        <v>74</v>
      </c>
      <c r="F214" s="2" t="str">
        <f aca="false">TEXT(D214,"mmmm")</f>
        <v>April</v>
      </c>
      <c r="G214" s="2" t="str">
        <f aca="false">INDEX('Product Summary'!$A$5:$A$24,MATCH(B214,'Product Summary'!$B$5:$B$24,0))</f>
        <v>PRD-1020</v>
      </c>
      <c r="H214" s="2" t="n">
        <v>2</v>
      </c>
      <c r="I214" s="6" t="n">
        <f aca="false">ROUND(J214*INDEX('Product Summary'!$E$5:$E$24,MATCH(B214,'Product Summary'!$B$5:$B$24,0)),2)</f>
        <v>5017</v>
      </c>
      <c r="J214" s="6" t="n">
        <f aca="false">C214*H214</f>
        <v>50170</v>
      </c>
    </row>
    <row r="215" customFormat="false" ht="15" hidden="false" customHeight="false" outlineLevel="0" collapsed="false">
      <c r="A215" s="2" t="n">
        <v>214</v>
      </c>
      <c r="B215" s="3" t="s">
        <v>104</v>
      </c>
      <c r="C215" s="4" t="n">
        <v>8840</v>
      </c>
      <c r="D215" s="5" t="n">
        <v>46130</v>
      </c>
      <c r="E215" s="3" t="s">
        <v>116</v>
      </c>
      <c r="F215" s="2" t="str">
        <f aca="false">TEXT(D215,"mmmm")</f>
        <v>April</v>
      </c>
      <c r="G215" s="2" t="str">
        <f aca="false">INDEX('Product Summary'!$A$5:$A$24,MATCH(B215,'Product Summary'!$B$5:$B$24,0))</f>
        <v>PRD-1012</v>
      </c>
      <c r="H215" s="2" t="n">
        <v>2</v>
      </c>
      <c r="I215" s="6" t="n">
        <f aca="false">ROUND(J215*INDEX('Product Summary'!$E$5:$E$24,MATCH(B215,'Product Summary'!$B$5:$B$24,0)),2)</f>
        <v>3182.4</v>
      </c>
      <c r="J215" s="6" t="n">
        <f aca="false">C215*H215</f>
        <v>17680</v>
      </c>
    </row>
    <row r="216" customFormat="false" ht="15" hidden="false" customHeight="false" outlineLevel="0" collapsed="false">
      <c r="A216" s="2" t="n">
        <v>215</v>
      </c>
      <c r="B216" s="3" t="s">
        <v>27</v>
      </c>
      <c r="C216" s="4" t="n">
        <v>2190</v>
      </c>
      <c r="D216" s="5" t="n">
        <v>46132</v>
      </c>
      <c r="E216" s="3" t="s">
        <v>124</v>
      </c>
      <c r="F216" s="2" t="str">
        <f aca="false">TEXT(D216,"mmmm")</f>
        <v>April</v>
      </c>
      <c r="G216" s="2" t="str">
        <f aca="false">INDEX('Product Summary'!$A$5:$A$24,MATCH(B216,'Product Summary'!$B$5:$B$24,0))</f>
        <v>PRD-1004</v>
      </c>
      <c r="H216" s="2" t="n">
        <v>6</v>
      </c>
      <c r="I216" s="6" t="n">
        <f aca="false">ROUND(J216*INDEX('Product Summary'!$E$5:$E$24,MATCH(B216,'Product Summary'!$B$5:$B$24,0)),2)</f>
        <v>3942</v>
      </c>
      <c r="J216" s="6" t="n">
        <f aca="false">C216*H216</f>
        <v>13140</v>
      </c>
    </row>
    <row r="217" customFormat="false" ht="15" hidden="false" customHeight="false" outlineLevel="0" collapsed="false">
      <c r="A217" s="2" t="n">
        <v>216</v>
      </c>
      <c r="B217" s="3" t="s">
        <v>52</v>
      </c>
      <c r="C217" s="4" t="n">
        <v>3430</v>
      </c>
      <c r="D217" s="5" t="n">
        <v>46134</v>
      </c>
      <c r="E217" s="3" t="s">
        <v>125</v>
      </c>
      <c r="F217" s="2" t="str">
        <f aca="false">TEXT(D217,"mmmm")</f>
        <v>April</v>
      </c>
      <c r="G217" s="2" t="str">
        <f aca="false">INDEX('Product Summary'!$A$5:$A$24,MATCH(B217,'Product Summary'!$B$5:$B$24,0))</f>
        <v>PRD-1002</v>
      </c>
      <c r="H217" s="2" t="n">
        <v>3</v>
      </c>
      <c r="I217" s="6" t="n">
        <f aca="false">ROUND(J217*INDEX('Product Summary'!$E$5:$E$24,MATCH(B217,'Product Summary'!$B$5:$B$24,0)),2)</f>
        <v>2881.2</v>
      </c>
      <c r="J217" s="6" t="n">
        <f aca="false">C217*H217</f>
        <v>10290</v>
      </c>
    </row>
    <row r="218" customFormat="false" ht="15" hidden="false" customHeight="false" outlineLevel="0" collapsed="false">
      <c r="A218" s="2" t="n">
        <v>217</v>
      </c>
      <c r="B218" s="3" t="s">
        <v>31</v>
      </c>
      <c r="C218" s="4" t="n">
        <v>23560</v>
      </c>
      <c r="D218" s="5" t="n">
        <v>46135</v>
      </c>
      <c r="E218" s="3" t="s">
        <v>122</v>
      </c>
      <c r="F218" s="2" t="str">
        <f aca="false">TEXT(D218,"mmmm")</f>
        <v>April</v>
      </c>
      <c r="G218" s="2" t="str">
        <f aca="false">INDEX('Product Summary'!$A$5:$A$24,MATCH(B218,'Product Summary'!$B$5:$B$24,0))</f>
        <v>PRD-1020</v>
      </c>
      <c r="H218" s="2" t="n">
        <v>3</v>
      </c>
      <c r="I218" s="6" t="n">
        <f aca="false">ROUND(J218*INDEX('Product Summary'!$E$5:$E$24,MATCH(B218,'Product Summary'!$B$5:$B$24,0)),2)</f>
        <v>7068</v>
      </c>
      <c r="J218" s="6" t="n">
        <f aca="false">C218*H218</f>
        <v>70680</v>
      </c>
    </row>
    <row r="219" customFormat="false" ht="15" hidden="false" customHeight="false" outlineLevel="0" collapsed="false">
      <c r="A219" s="2" t="n">
        <v>218</v>
      </c>
      <c r="B219" s="3" t="s">
        <v>43</v>
      </c>
      <c r="C219" s="4" t="n">
        <v>11310</v>
      </c>
      <c r="D219" s="5" t="n">
        <v>46135</v>
      </c>
      <c r="E219" s="3" t="s">
        <v>49</v>
      </c>
      <c r="F219" s="2" t="str">
        <f aca="false">TEXT(D219,"mmmm")</f>
        <v>April</v>
      </c>
      <c r="G219" s="2" t="str">
        <f aca="false">INDEX('Product Summary'!$A$5:$A$24,MATCH(B219,'Product Summary'!$B$5:$B$24,0))</f>
        <v>PRD-1015</v>
      </c>
      <c r="H219" s="2" t="n">
        <v>3</v>
      </c>
      <c r="I219" s="6" t="n">
        <f aca="false">ROUND(J219*INDEX('Product Summary'!$E$5:$E$24,MATCH(B219,'Product Summary'!$B$5:$B$24,0)),2)</f>
        <v>6786</v>
      </c>
      <c r="J219" s="6" t="n">
        <f aca="false">C219*H219</f>
        <v>33930</v>
      </c>
    </row>
    <row r="220" customFormat="false" ht="15" hidden="false" customHeight="false" outlineLevel="0" collapsed="false">
      <c r="A220" s="2" t="n">
        <v>219</v>
      </c>
      <c r="B220" s="3" t="s">
        <v>12</v>
      </c>
      <c r="C220" s="4" t="n">
        <v>735</v>
      </c>
      <c r="D220" s="5" t="n">
        <v>46136</v>
      </c>
      <c r="E220" s="3" t="s">
        <v>81</v>
      </c>
      <c r="F220" s="2" t="str">
        <f aca="false">TEXT(D220,"mmmm")</f>
        <v>April</v>
      </c>
      <c r="G220" s="2" t="str">
        <f aca="false">INDEX('Product Summary'!$A$5:$A$24,MATCH(B220,'Product Summary'!$B$5:$B$24,0))</f>
        <v>PRD-1001</v>
      </c>
      <c r="H220" s="2" t="n">
        <v>5</v>
      </c>
      <c r="I220" s="6" t="n">
        <f aca="false">ROUND(J220*INDEX('Product Summary'!$E$5:$E$24,MATCH(B220,'Product Summary'!$B$5:$B$24,0)),2)</f>
        <v>1176</v>
      </c>
      <c r="J220" s="6" t="n">
        <f aca="false">C220*H220</f>
        <v>3675</v>
      </c>
    </row>
    <row r="221" customFormat="false" ht="15" hidden="false" customHeight="false" outlineLevel="0" collapsed="false">
      <c r="A221" s="2" t="n">
        <v>220</v>
      </c>
      <c r="B221" s="3" t="s">
        <v>37</v>
      </c>
      <c r="C221" s="4" t="n">
        <v>2805</v>
      </c>
      <c r="D221" s="5" t="n">
        <v>46137</v>
      </c>
      <c r="E221" s="3" t="s">
        <v>122</v>
      </c>
      <c r="F221" s="2" t="str">
        <f aca="false">TEXT(D221,"mmmm")</f>
        <v>April</v>
      </c>
      <c r="G221" s="2" t="str">
        <f aca="false">INDEX('Product Summary'!$A$5:$A$24,MATCH(B221,'Product Summary'!$B$5:$B$24,0))</f>
        <v>PRD-1007</v>
      </c>
      <c r="H221" s="2" t="n">
        <v>1</v>
      </c>
      <c r="I221" s="6" t="n">
        <f aca="false">ROUND(J221*INDEX('Product Summary'!$E$5:$E$24,MATCH(B221,'Product Summary'!$B$5:$B$24,0)),2)</f>
        <v>813.45</v>
      </c>
      <c r="J221" s="6" t="n">
        <f aca="false">C221*H221</f>
        <v>2805</v>
      </c>
    </row>
    <row r="222" customFormat="false" ht="15" hidden="false" customHeight="false" outlineLevel="0" collapsed="false">
      <c r="A222" s="2" t="n">
        <v>221</v>
      </c>
      <c r="B222" s="3" t="s">
        <v>42</v>
      </c>
      <c r="C222" s="4" t="n">
        <v>1225</v>
      </c>
      <c r="D222" s="5" t="n">
        <v>46140</v>
      </c>
      <c r="E222" s="3" t="s">
        <v>55</v>
      </c>
      <c r="F222" s="2" t="str">
        <f aca="false">TEXT(D222,"mmmm")</f>
        <v>April</v>
      </c>
      <c r="G222" s="2" t="str">
        <f aca="false">INDEX('Product Summary'!$A$5:$A$24,MATCH(B222,'Product Summary'!$B$5:$B$24,0))</f>
        <v>PRD-1017</v>
      </c>
      <c r="H222" s="2" t="n">
        <v>8</v>
      </c>
      <c r="I222" s="6" t="n">
        <f aca="false">ROUND(J222*INDEX('Product Summary'!$E$5:$E$24,MATCH(B222,'Product Summary'!$B$5:$B$24,0)),2)</f>
        <v>3724</v>
      </c>
      <c r="J222" s="6" t="n">
        <f aca="false">C222*H222</f>
        <v>9800</v>
      </c>
    </row>
    <row r="223" customFormat="false" ht="15" hidden="false" customHeight="false" outlineLevel="0" collapsed="false">
      <c r="A223" s="2" t="n">
        <v>222</v>
      </c>
      <c r="B223" s="3" t="s">
        <v>37</v>
      </c>
      <c r="C223" s="4" t="n">
        <v>3020</v>
      </c>
      <c r="D223" s="5" t="n">
        <v>46141</v>
      </c>
      <c r="E223" s="3" t="s">
        <v>17</v>
      </c>
      <c r="F223" s="2" t="str">
        <f aca="false">TEXT(D223,"mmmm")</f>
        <v>April</v>
      </c>
      <c r="G223" s="2" t="str">
        <f aca="false">INDEX('Product Summary'!$A$5:$A$24,MATCH(B223,'Product Summary'!$B$5:$B$24,0))</f>
        <v>PRD-1007</v>
      </c>
      <c r="H223" s="2" t="n">
        <v>5</v>
      </c>
      <c r="I223" s="6" t="n">
        <f aca="false">ROUND(J223*INDEX('Product Summary'!$E$5:$E$24,MATCH(B223,'Product Summary'!$B$5:$B$24,0)),2)</f>
        <v>4379</v>
      </c>
      <c r="J223" s="6" t="n">
        <f aca="false">C223*H223</f>
        <v>15100</v>
      </c>
    </row>
    <row r="224" customFormat="false" ht="15" hidden="false" customHeight="false" outlineLevel="0" collapsed="false">
      <c r="A224" s="2" t="n">
        <v>223</v>
      </c>
      <c r="B224" s="3" t="s">
        <v>45</v>
      </c>
      <c r="C224" s="4" t="n">
        <v>2315</v>
      </c>
      <c r="D224" s="5" t="n">
        <v>46141</v>
      </c>
      <c r="E224" s="3" t="s">
        <v>103</v>
      </c>
      <c r="F224" s="2" t="str">
        <f aca="false">TEXT(D224,"mmmm")</f>
        <v>April</v>
      </c>
      <c r="G224" s="2" t="str">
        <f aca="false">INDEX('Product Summary'!$A$5:$A$24,MATCH(B224,'Product Summary'!$B$5:$B$24,0))</f>
        <v>PRD-1010</v>
      </c>
      <c r="H224" s="2" t="n">
        <v>3</v>
      </c>
      <c r="I224" s="6" t="n">
        <f aca="false">ROUND(J224*INDEX('Product Summary'!$E$5:$E$24,MATCH(B224,'Product Summary'!$B$5:$B$24,0)),2)</f>
        <v>1736.25</v>
      </c>
      <c r="J224" s="6" t="n">
        <f aca="false">C224*H224</f>
        <v>6945</v>
      </c>
    </row>
    <row r="225" customFormat="false" ht="15" hidden="false" customHeight="false" outlineLevel="0" collapsed="false">
      <c r="A225" s="2" t="n">
        <v>224</v>
      </c>
      <c r="B225" s="3" t="s">
        <v>52</v>
      </c>
      <c r="C225" s="4" t="n">
        <v>3315</v>
      </c>
      <c r="D225" s="5" t="n">
        <v>46141</v>
      </c>
      <c r="E225" s="3" t="s">
        <v>72</v>
      </c>
      <c r="F225" s="2" t="str">
        <f aca="false">TEXT(D225,"mmmm")</f>
        <v>April</v>
      </c>
      <c r="G225" s="2" t="str">
        <f aca="false">INDEX('Product Summary'!$A$5:$A$24,MATCH(B225,'Product Summary'!$B$5:$B$24,0))</f>
        <v>PRD-1002</v>
      </c>
      <c r="H225" s="2" t="n">
        <v>5</v>
      </c>
      <c r="I225" s="6" t="n">
        <f aca="false">ROUND(J225*INDEX('Product Summary'!$E$5:$E$24,MATCH(B225,'Product Summary'!$B$5:$B$24,0)),2)</f>
        <v>4641</v>
      </c>
      <c r="J225" s="6" t="n">
        <f aca="false">C225*H225</f>
        <v>16575</v>
      </c>
    </row>
    <row r="226" customFormat="false" ht="15" hidden="false" customHeight="false" outlineLevel="0" collapsed="false">
      <c r="A226" s="2" t="n">
        <v>225</v>
      </c>
      <c r="B226" s="3" t="s">
        <v>31</v>
      </c>
      <c r="C226" s="4" t="n">
        <v>24215</v>
      </c>
      <c r="D226" s="5" t="n">
        <v>46142</v>
      </c>
      <c r="E226" s="3" t="s">
        <v>33</v>
      </c>
      <c r="F226" s="2" t="str">
        <f aca="false">TEXT(D226,"mmmm")</f>
        <v>April</v>
      </c>
      <c r="G226" s="2" t="str">
        <f aca="false">INDEX('Product Summary'!$A$5:$A$24,MATCH(B226,'Product Summary'!$B$5:$B$24,0))</f>
        <v>PRD-1020</v>
      </c>
      <c r="H226" s="2" t="n">
        <v>2</v>
      </c>
      <c r="I226" s="6" t="n">
        <f aca="false">ROUND(J226*INDEX('Product Summary'!$E$5:$E$24,MATCH(B226,'Product Summary'!$B$5:$B$24,0)),2)</f>
        <v>4843</v>
      </c>
      <c r="J226" s="6" t="n">
        <f aca="false">C226*H226</f>
        <v>48430</v>
      </c>
    </row>
    <row r="227" customFormat="false" ht="15" hidden="false" customHeight="false" outlineLevel="0" collapsed="false">
      <c r="A227" s="2" t="n">
        <v>226</v>
      </c>
      <c r="B227" s="3" t="s">
        <v>31</v>
      </c>
      <c r="C227" s="4" t="n">
        <v>23235</v>
      </c>
      <c r="D227" s="5" t="n">
        <v>46147</v>
      </c>
      <c r="E227" s="3" t="s">
        <v>74</v>
      </c>
      <c r="F227" s="2" t="str">
        <f aca="false">TEXT(D227,"mmmm")</f>
        <v>May</v>
      </c>
      <c r="G227" s="2" t="str">
        <f aca="false">INDEX('Product Summary'!$A$5:$A$24,MATCH(B227,'Product Summary'!$B$5:$B$24,0))</f>
        <v>PRD-1020</v>
      </c>
      <c r="H227" s="2" t="n">
        <v>1</v>
      </c>
      <c r="I227" s="6" t="n">
        <f aca="false">ROUND(J227*INDEX('Product Summary'!$E$5:$E$24,MATCH(B227,'Product Summary'!$B$5:$B$24,0)),2)</f>
        <v>2323.5</v>
      </c>
      <c r="J227" s="6" t="n">
        <f aca="false">C227*H227</f>
        <v>23235</v>
      </c>
    </row>
    <row r="228" customFormat="false" ht="15" hidden="false" customHeight="false" outlineLevel="0" collapsed="false">
      <c r="A228" s="2" t="n">
        <v>227</v>
      </c>
      <c r="B228" s="3" t="s">
        <v>29</v>
      </c>
      <c r="C228" s="4" t="n">
        <v>10375</v>
      </c>
      <c r="D228" s="5" t="n">
        <v>46148</v>
      </c>
      <c r="E228" s="3" t="s">
        <v>53</v>
      </c>
      <c r="F228" s="2" t="str">
        <f aca="false">TEXT(D228,"mmmm")</f>
        <v>May</v>
      </c>
      <c r="G228" s="2" t="str">
        <f aca="false">INDEX('Product Summary'!$A$5:$A$24,MATCH(B228,'Product Summary'!$B$5:$B$24,0))</f>
        <v>PRD-1018</v>
      </c>
      <c r="H228" s="2" t="n">
        <v>1</v>
      </c>
      <c r="I228" s="6" t="n">
        <f aca="false">ROUND(J228*INDEX('Product Summary'!$E$5:$E$24,MATCH(B228,'Product Summary'!$B$5:$B$24,0)),2)</f>
        <v>2178.75</v>
      </c>
      <c r="J228" s="6" t="n">
        <f aca="false">C228*H228</f>
        <v>10375</v>
      </c>
    </row>
    <row r="229" customFormat="false" ht="15" hidden="false" customHeight="false" outlineLevel="0" collapsed="false">
      <c r="A229" s="2" t="n">
        <v>228</v>
      </c>
      <c r="B229" s="3" t="s">
        <v>12</v>
      </c>
      <c r="C229" s="4" t="n">
        <v>810</v>
      </c>
      <c r="D229" s="5" t="n">
        <v>46150</v>
      </c>
      <c r="E229" s="3" t="s">
        <v>100</v>
      </c>
      <c r="F229" s="2" t="str">
        <f aca="false">TEXT(D229,"mmmm")</f>
        <v>May</v>
      </c>
      <c r="G229" s="2" t="str">
        <f aca="false">INDEX('Product Summary'!$A$5:$A$24,MATCH(B229,'Product Summary'!$B$5:$B$24,0))</f>
        <v>PRD-1001</v>
      </c>
      <c r="H229" s="2" t="n">
        <v>8</v>
      </c>
      <c r="I229" s="6" t="n">
        <f aca="false">ROUND(J229*INDEX('Product Summary'!$E$5:$E$24,MATCH(B229,'Product Summary'!$B$5:$B$24,0)),2)</f>
        <v>2073.6</v>
      </c>
      <c r="J229" s="6" t="n">
        <f aca="false">C229*H229</f>
        <v>6480</v>
      </c>
    </row>
    <row r="230" customFormat="false" ht="15" hidden="false" customHeight="false" outlineLevel="0" collapsed="false">
      <c r="A230" s="2" t="n">
        <v>229</v>
      </c>
      <c r="B230" s="3" t="s">
        <v>20</v>
      </c>
      <c r="C230" s="4" t="n">
        <v>19480</v>
      </c>
      <c r="D230" s="5" t="n">
        <v>46150</v>
      </c>
      <c r="E230" s="3" t="s">
        <v>56</v>
      </c>
      <c r="F230" s="2" t="str">
        <f aca="false">TEXT(D230,"mmmm")</f>
        <v>May</v>
      </c>
      <c r="G230" s="2" t="str">
        <f aca="false">INDEX('Product Summary'!$A$5:$A$24,MATCH(B230,'Product Summary'!$B$5:$B$24,0))</f>
        <v>PRD-1019</v>
      </c>
      <c r="H230" s="2" t="n">
        <v>2</v>
      </c>
      <c r="I230" s="6" t="n">
        <f aca="false">ROUND(J230*INDEX('Product Summary'!$E$5:$E$24,MATCH(B230,'Product Summary'!$B$5:$B$24,0)),2)</f>
        <v>4675.2</v>
      </c>
      <c r="J230" s="6" t="n">
        <f aca="false">C230*H230</f>
        <v>38960</v>
      </c>
    </row>
    <row r="231" customFormat="false" ht="15" hidden="false" customHeight="false" outlineLevel="0" collapsed="false">
      <c r="A231" s="2" t="n">
        <v>230</v>
      </c>
      <c r="B231" s="3" t="s">
        <v>18</v>
      </c>
      <c r="C231" s="4" t="n">
        <v>1805</v>
      </c>
      <c r="D231" s="5" t="n">
        <v>46151</v>
      </c>
      <c r="E231" s="3" t="s">
        <v>70</v>
      </c>
      <c r="F231" s="2" t="str">
        <f aca="false">TEXT(D231,"mmmm")</f>
        <v>May</v>
      </c>
      <c r="G231" s="2" t="str">
        <f aca="false">INDEX('Product Summary'!$A$5:$A$24,MATCH(B231,'Product Summary'!$B$5:$B$24,0))</f>
        <v>PRD-1003</v>
      </c>
      <c r="H231" s="2" t="n">
        <v>5</v>
      </c>
      <c r="I231" s="6" t="n">
        <f aca="false">ROUND(J231*INDEX('Product Summary'!$E$5:$E$24,MATCH(B231,'Product Summary'!$B$5:$B$24,0)),2)</f>
        <v>3158.75</v>
      </c>
      <c r="J231" s="6" t="n">
        <f aca="false">C231*H231</f>
        <v>9025</v>
      </c>
    </row>
    <row r="232" customFormat="false" ht="15" hidden="false" customHeight="false" outlineLevel="0" collapsed="false">
      <c r="A232" s="2" t="n">
        <v>231</v>
      </c>
      <c r="B232" s="3" t="s">
        <v>25</v>
      </c>
      <c r="C232" s="4" t="n">
        <v>18710</v>
      </c>
      <c r="D232" s="5" t="n">
        <v>46151</v>
      </c>
      <c r="E232" s="3" t="s">
        <v>38</v>
      </c>
      <c r="F232" s="2" t="str">
        <f aca="false">TEXT(D232,"mmmm")</f>
        <v>May</v>
      </c>
      <c r="G232" s="2" t="str">
        <f aca="false">INDEX('Product Summary'!$A$5:$A$24,MATCH(B232,'Product Summary'!$B$5:$B$24,0))</f>
        <v>PRD-1016</v>
      </c>
      <c r="H232" s="2" t="n">
        <v>2</v>
      </c>
      <c r="I232" s="6" t="n">
        <f aca="false">ROUND(J232*INDEX('Product Summary'!$E$5:$E$24,MATCH(B232,'Product Summary'!$B$5:$B$24,0)),2)</f>
        <v>7109.8</v>
      </c>
      <c r="J232" s="6" t="n">
        <f aca="false">C232*H232</f>
        <v>37420</v>
      </c>
    </row>
    <row r="233" customFormat="false" ht="15" hidden="false" customHeight="false" outlineLevel="0" collapsed="false">
      <c r="A233" s="2" t="n">
        <v>232</v>
      </c>
      <c r="B233" s="3" t="s">
        <v>60</v>
      </c>
      <c r="C233" s="4" t="n">
        <v>5840</v>
      </c>
      <c r="D233" s="5" t="n">
        <v>46151</v>
      </c>
      <c r="E233" s="3" t="s">
        <v>112</v>
      </c>
      <c r="F233" s="2" t="str">
        <f aca="false">TEXT(D233,"mmmm")</f>
        <v>May</v>
      </c>
      <c r="G233" s="2" t="str">
        <f aca="false">INDEX('Product Summary'!$A$5:$A$24,MATCH(B233,'Product Summary'!$B$5:$B$24,0))</f>
        <v>PRD-1009</v>
      </c>
      <c r="H233" s="2" t="n">
        <v>1</v>
      </c>
      <c r="I233" s="6" t="n">
        <f aca="false">ROUND(J233*INDEX('Product Summary'!$E$5:$E$24,MATCH(B233,'Product Summary'!$B$5:$B$24,0)),2)</f>
        <v>1284.8</v>
      </c>
      <c r="J233" s="6" t="n">
        <f aca="false">C233*H233</f>
        <v>5840</v>
      </c>
    </row>
    <row r="234" customFormat="false" ht="15" hidden="false" customHeight="false" outlineLevel="0" collapsed="false">
      <c r="A234" s="2" t="n">
        <v>233</v>
      </c>
      <c r="B234" s="3" t="s">
        <v>18</v>
      </c>
      <c r="C234" s="4" t="n">
        <v>1690</v>
      </c>
      <c r="D234" s="5" t="n">
        <v>46152</v>
      </c>
      <c r="E234" s="3" t="s">
        <v>120</v>
      </c>
      <c r="F234" s="2" t="str">
        <f aca="false">TEXT(D234,"mmmm")</f>
        <v>May</v>
      </c>
      <c r="G234" s="2" t="str">
        <f aca="false">INDEX('Product Summary'!$A$5:$A$24,MATCH(B234,'Product Summary'!$B$5:$B$24,0))</f>
        <v>PRD-1003</v>
      </c>
      <c r="H234" s="2" t="n">
        <v>8</v>
      </c>
      <c r="I234" s="6" t="n">
        <f aca="false">ROUND(J234*INDEX('Product Summary'!$E$5:$E$24,MATCH(B234,'Product Summary'!$B$5:$B$24,0)),2)</f>
        <v>4732</v>
      </c>
      <c r="J234" s="6" t="n">
        <f aca="false">C234*H234</f>
        <v>13520</v>
      </c>
    </row>
    <row r="235" customFormat="false" ht="15" hidden="false" customHeight="false" outlineLevel="0" collapsed="false">
      <c r="A235" s="2" t="n">
        <v>234</v>
      </c>
      <c r="B235" s="3" t="s">
        <v>52</v>
      </c>
      <c r="C235" s="4" t="n">
        <v>3505</v>
      </c>
      <c r="D235" s="5" t="n">
        <v>46153</v>
      </c>
      <c r="E235" s="3" t="s">
        <v>33</v>
      </c>
      <c r="F235" s="2" t="str">
        <f aca="false">TEXT(D235,"mmmm")</f>
        <v>May</v>
      </c>
      <c r="G235" s="2" t="str">
        <f aca="false">INDEX('Product Summary'!$A$5:$A$24,MATCH(B235,'Product Summary'!$B$5:$B$24,0))</f>
        <v>PRD-1002</v>
      </c>
      <c r="H235" s="2" t="n">
        <v>5</v>
      </c>
      <c r="I235" s="6" t="n">
        <f aca="false">ROUND(J235*INDEX('Product Summary'!$E$5:$E$24,MATCH(B235,'Product Summary'!$B$5:$B$24,0)),2)</f>
        <v>4907</v>
      </c>
      <c r="J235" s="6" t="n">
        <f aca="false">C235*H235</f>
        <v>17525</v>
      </c>
    </row>
    <row r="236" customFormat="false" ht="15" hidden="false" customHeight="false" outlineLevel="0" collapsed="false">
      <c r="A236" s="2" t="n">
        <v>235</v>
      </c>
      <c r="B236" s="3" t="s">
        <v>60</v>
      </c>
      <c r="C236" s="4" t="n">
        <v>5955</v>
      </c>
      <c r="D236" s="5" t="n">
        <v>46153</v>
      </c>
      <c r="E236" s="3" t="s">
        <v>126</v>
      </c>
      <c r="F236" s="2" t="str">
        <f aca="false">TEXT(D236,"mmmm")</f>
        <v>May</v>
      </c>
      <c r="G236" s="2" t="str">
        <f aca="false">INDEX('Product Summary'!$A$5:$A$24,MATCH(B236,'Product Summary'!$B$5:$B$24,0))</f>
        <v>PRD-1009</v>
      </c>
      <c r="H236" s="2" t="n">
        <v>4</v>
      </c>
      <c r="I236" s="6" t="n">
        <f aca="false">ROUND(J236*INDEX('Product Summary'!$E$5:$E$24,MATCH(B236,'Product Summary'!$B$5:$B$24,0)),2)</f>
        <v>5240.4</v>
      </c>
      <c r="J236" s="6" t="n">
        <f aca="false">C236*H236</f>
        <v>23820</v>
      </c>
    </row>
    <row r="237" customFormat="false" ht="15" hidden="false" customHeight="false" outlineLevel="0" collapsed="false">
      <c r="A237" s="2" t="n">
        <v>236</v>
      </c>
      <c r="B237" s="3" t="s">
        <v>37</v>
      </c>
      <c r="C237" s="4" t="n">
        <v>3020</v>
      </c>
      <c r="D237" s="5" t="n">
        <v>46154</v>
      </c>
      <c r="E237" s="3" t="s">
        <v>92</v>
      </c>
      <c r="F237" s="2" t="str">
        <f aca="false">TEXT(D237,"mmmm")</f>
        <v>May</v>
      </c>
      <c r="G237" s="2" t="str">
        <f aca="false">INDEX('Product Summary'!$A$5:$A$24,MATCH(B237,'Product Summary'!$B$5:$B$24,0))</f>
        <v>PRD-1007</v>
      </c>
      <c r="H237" s="2" t="n">
        <v>1</v>
      </c>
      <c r="I237" s="6" t="n">
        <f aca="false">ROUND(J237*INDEX('Product Summary'!$E$5:$E$24,MATCH(B237,'Product Summary'!$B$5:$B$24,0)),2)</f>
        <v>875.8</v>
      </c>
      <c r="J237" s="6" t="n">
        <f aca="false">C237*H237</f>
        <v>3020</v>
      </c>
    </row>
    <row r="238" customFormat="false" ht="15" hidden="false" customHeight="false" outlineLevel="0" collapsed="false">
      <c r="A238" s="2" t="n">
        <v>237</v>
      </c>
      <c r="B238" s="3" t="s">
        <v>43</v>
      </c>
      <c r="C238" s="4" t="n">
        <v>12115</v>
      </c>
      <c r="D238" s="5" t="n">
        <v>46154</v>
      </c>
      <c r="E238" s="3" t="s">
        <v>89</v>
      </c>
      <c r="F238" s="2" t="str">
        <f aca="false">TEXT(D238,"mmmm")</f>
        <v>May</v>
      </c>
      <c r="G238" s="2" t="str">
        <f aca="false">INDEX('Product Summary'!$A$5:$A$24,MATCH(B238,'Product Summary'!$B$5:$B$24,0))</f>
        <v>PRD-1015</v>
      </c>
      <c r="H238" s="2" t="n">
        <v>1</v>
      </c>
      <c r="I238" s="6" t="n">
        <f aca="false">ROUND(J238*INDEX('Product Summary'!$E$5:$E$24,MATCH(B238,'Product Summary'!$B$5:$B$24,0)),2)</f>
        <v>2423</v>
      </c>
      <c r="J238" s="6" t="n">
        <f aca="false">C238*H238</f>
        <v>12115</v>
      </c>
    </row>
    <row r="239" customFormat="false" ht="15" hidden="false" customHeight="false" outlineLevel="0" collapsed="false">
      <c r="A239" s="2" t="n">
        <v>238</v>
      </c>
      <c r="B239" s="3" t="s">
        <v>20</v>
      </c>
      <c r="C239" s="4" t="n">
        <v>19815</v>
      </c>
      <c r="D239" s="5" t="n">
        <v>46155</v>
      </c>
      <c r="E239" s="3" t="s">
        <v>57</v>
      </c>
      <c r="F239" s="2" t="str">
        <f aca="false">TEXT(D239,"mmmm")</f>
        <v>May</v>
      </c>
      <c r="G239" s="2" t="str">
        <f aca="false">INDEX('Product Summary'!$A$5:$A$24,MATCH(B239,'Product Summary'!$B$5:$B$24,0))</f>
        <v>PRD-1019</v>
      </c>
      <c r="H239" s="2" t="n">
        <v>3</v>
      </c>
      <c r="I239" s="6" t="n">
        <f aca="false">ROUND(J239*INDEX('Product Summary'!$E$5:$E$24,MATCH(B239,'Product Summary'!$B$5:$B$24,0)),2)</f>
        <v>7133.4</v>
      </c>
      <c r="J239" s="6" t="n">
        <f aca="false">C239*H239</f>
        <v>59445</v>
      </c>
    </row>
    <row r="240" customFormat="false" ht="15" hidden="false" customHeight="false" outlineLevel="0" collapsed="false">
      <c r="A240" s="2" t="n">
        <v>239</v>
      </c>
      <c r="B240" s="3" t="s">
        <v>60</v>
      </c>
      <c r="C240" s="4" t="n">
        <v>6275</v>
      </c>
      <c r="D240" s="5" t="n">
        <v>46155</v>
      </c>
      <c r="E240" s="3" t="s">
        <v>76</v>
      </c>
      <c r="F240" s="2" t="str">
        <f aca="false">TEXT(D240,"mmmm")</f>
        <v>May</v>
      </c>
      <c r="G240" s="2" t="str">
        <f aca="false">INDEX('Product Summary'!$A$5:$A$24,MATCH(B240,'Product Summary'!$B$5:$B$24,0))</f>
        <v>PRD-1009</v>
      </c>
      <c r="H240" s="2" t="n">
        <v>5</v>
      </c>
      <c r="I240" s="6" t="n">
        <f aca="false">ROUND(J240*INDEX('Product Summary'!$E$5:$E$24,MATCH(B240,'Product Summary'!$B$5:$B$24,0)),2)</f>
        <v>6902.5</v>
      </c>
      <c r="J240" s="6" t="n">
        <f aca="false">C240*H240</f>
        <v>31375</v>
      </c>
    </row>
    <row r="241" customFormat="false" ht="15" hidden="false" customHeight="false" outlineLevel="0" collapsed="false">
      <c r="A241" s="2" t="n">
        <v>240</v>
      </c>
      <c r="B241" s="3" t="s">
        <v>31</v>
      </c>
      <c r="C241" s="4" t="n">
        <v>24595</v>
      </c>
      <c r="D241" s="5" t="n">
        <v>46155</v>
      </c>
      <c r="E241" s="3" t="s">
        <v>11</v>
      </c>
      <c r="F241" s="2" t="str">
        <f aca="false">TEXT(D241,"mmmm")</f>
        <v>May</v>
      </c>
      <c r="G241" s="2" t="str">
        <f aca="false">INDEX('Product Summary'!$A$5:$A$24,MATCH(B241,'Product Summary'!$B$5:$B$24,0))</f>
        <v>PRD-1020</v>
      </c>
      <c r="H241" s="2" t="n">
        <v>2</v>
      </c>
      <c r="I241" s="6" t="n">
        <f aca="false">ROUND(J241*INDEX('Product Summary'!$E$5:$E$24,MATCH(B241,'Product Summary'!$B$5:$B$24,0)),2)</f>
        <v>4919</v>
      </c>
      <c r="J241" s="6" t="n">
        <f aca="false">C241*H241</f>
        <v>49190</v>
      </c>
    </row>
    <row r="242" customFormat="false" ht="15" hidden="false" customHeight="false" outlineLevel="0" collapsed="false">
      <c r="A242" s="2" t="n">
        <v>241</v>
      </c>
      <c r="B242" s="3" t="s">
        <v>60</v>
      </c>
      <c r="C242" s="4" t="n">
        <v>6170</v>
      </c>
      <c r="D242" s="5" t="n">
        <v>46156</v>
      </c>
      <c r="E242" s="3" t="s">
        <v>127</v>
      </c>
      <c r="F242" s="2" t="str">
        <f aca="false">TEXT(D242,"mmmm")</f>
        <v>May</v>
      </c>
      <c r="G242" s="2" t="str">
        <f aca="false">INDEX('Product Summary'!$A$5:$A$24,MATCH(B242,'Product Summary'!$B$5:$B$24,0))</f>
        <v>PRD-1009</v>
      </c>
      <c r="H242" s="2" t="n">
        <v>5</v>
      </c>
      <c r="I242" s="6" t="n">
        <f aca="false">ROUND(J242*INDEX('Product Summary'!$E$5:$E$24,MATCH(B242,'Product Summary'!$B$5:$B$24,0)),2)</f>
        <v>6787</v>
      </c>
      <c r="J242" s="6" t="n">
        <f aca="false">C242*H242</f>
        <v>30850</v>
      </c>
    </row>
    <row r="243" customFormat="false" ht="15" hidden="false" customHeight="false" outlineLevel="0" collapsed="false">
      <c r="A243" s="2" t="n">
        <v>242</v>
      </c>
      <c r="B243" s="3" t="s">
        <v>31</v>
      </c>
      <c r="C243" s="4" t="n">
        <v>24725</v>
      </c>
      <c r="D243" s="5" t="n">
        <v>46156</v>
      </c>
      <c r="E243" s="3" t="s">
        <v>88</v>
      </c>
      <c r="F243" s="2" t="str">
        <f aca="false">TEXT(D243,"mmmm")</f>
        <v>May</v>
      </c>
      <c r="G243" s="2" t="str">
        <f aca="false">INDEX('Product Summary'!$A$5:$A$24,MATCH(B243,'Product Summary'!$B$5:$B$24,0))</f>
        <v>PRD-1020</v>
      </c>
      <c r="H243" s="2" t="n">
        <v>2</v>
      </c>
      <c r="I243" s="6" t="n">
        <f aca="false">ROUND(J243*INDEX('Product Summary'!$E$5:$E$24,MATCH(B243,'Product Summary'!$B$5:$B$24,0)),2)</f>
        <v>4945</v>
      </c>
      <c r="J243" s="6" t="n">
        <f aca="false">C243*H243</f>
        <v>49450</v>
      </c>
    </row>
    <row r="244" customFormat="false" ht="15" hidden="false" customHeight="false" outlineLevel="0" collapsed="false">
      <c r="A244" s="2" t="n">
        <v>243</v>
      </c>
      <c r="B244" s="3" t="s">
        <v>22</v>
      </c>
      <c r="C244" s="4" t="n">
        <v>7650</v>
      </c>
      <c r="D244" s="5" t="n">
        <v>46156</v>
      </c>
      <c r="E244" s="3" t="s">
        <v>128</v>
      </c>
      <c r="F244" s="2" t="str">
        <f aca="false">TEXT(D244,"mmmm")</f>
        <v>May</v>
      </c>
      <c r="G244" s="2" t="str">
        <f aca="false">INDEX('Product Summary'!$A$5:$A$24,MATCH(B244,'Product Summary'!$B$5:$B$24,0))</f>
        <v>PRD-1008</v>
      </c>
      <c r="H244" s="2" t="n">
        <v>4</v>
      </c>
      <c r="I244" s="6" t="n">
        <f aca="false">ROUND(J244*INDEX('Product Summary'!$E$5:$E$24,MATCH(B244,'Product Summary'!$B$5:$B$24,0)),2)</f>
        <v>7344</v>
      </c>
      <c r="J244" s="6" t="n">
        <f aca="false">C244*H244</f>
        <v>30600</v>
      </c>
    </row>
    <row r="245" customFormat="false" ht="15" hidden="false" customHeight="false" outlineLevel="0" collapsed="false">
      <c r="A245" s="2" t="n">
        <v>244</v>
      </c>
      <c r="B245" s="3" t="s">
        <v>12</v>
      </c>
      <c r="C245" s="4" t="n">
        <v>780</v>
      </c>
      <c r="D245" s="5" t="n">
        <v>46156</v>
      </c>
      <c r="E245" s="3" t="s">
        <v>101</v>
      </c>
      <c r="F245" s="2" t="str">
        <f aca="false">TEXT(D245,"mmmm")</f>
        <v>May</v>
      </c>
      <c r="G245" s="2" t="str">
        <f aca="false">INDEX('Product Summary'!$A$5:$A$24,MATCH(B245,'Product Summary'!$B$5:$B$24,0))</f>
        <v>PRD-1001</v>
      </c>
      <c r="H245" s="2" t="n">
        <v>9</v>
      </c>
      <c r="I245" s="6" t="n">
        <f aca="false">ROUND(J245*INDEX('Product Summary'!$E$5:$E$24,MATCH(B245,'Product Summary'!$B$5:$B$24,0)),2)</f>
        <v>2246.4</v>
      </c>
      <c r="J245" s="6" t="n">
        <f aca="false">C245*H245</f>
        <v>7020</v>
      </c>
    </row>
    <row r="246" customFormat="false" ht="15" hidden="false" customHeight="false" outlineLevel="0" collapsed="false">
      <c r="A246" s="2" t="n">
        <v>245</v>
      </c>
      <c r="B246" s="3" t="s">
        <v>37</v>
      </c>
      <c r="C246" s="4" t="n">
        <v>2780</v>
      </c>
      <c r="D246" s="5" t="n">
        <v>46157</v>
      </c>
      <c r="E246" s="3" t="s">
        <v>50</v>
      </c>
      <c r="F246" s="2" t="str">
        <f aca="false">TEXT(D246,"mmmm")</f>
        <v>May</v>
      </c>
      <c r="G246" s="2" t="str">
        <f aca="false">INDEX('Product Summary'!$A$5:$A$24,MATCH(B246,'Product Summary'!$B$5:$B$24,0))</f>
        <v>PRD-1007</v>
      </c>
      <c r="H246" s="2" t="n">
        <v>2</v>
      </c>
      <c r="I246" s="6" t="n">
        <f aca="false">ROUND(J246*INDEX('Product Summary'!$E$5:$E$24,MATCH(B246,'Product Summary'!$B$5:$B$24,0)),2)</f>
        <v>1612.4</v>
      </c>
      <c r="J246" s="6" t="n">
        <f aca="false">C246*H246</f>
        <v>5560</v>
      </c>
    </row>
    <row r="247" customFormat="false" ht="15" hidden="false" customHeight="false" outlineLevel="0" collapsed="false">
      <c r="A247" s="2" t="n">
        <v>246</v>
      </c>
      <c r="B247" s="3" t="s">
        <v>60</v>
      </c>
      <c r="C247" s="4" t="n">
        <v>6235</v>
      </c>
      <c r="D247" s="5" t="n">
        <v>46158</v>
      </c>
      <c r="E247" s="3" t="s">
        <v>85</v>
      </c>
      <c r="F247" s="2" t="str">
        <f aca="false">TEXT(D247,"mmmm")</f>
        <v>May</v>
      </c>
      <c r="G247" s="2" t="str">
        <f aca="false">INDEX('Product Summary'!$A$5:$A$24,MATCH(B247,'Product Summary'!$B$5:$B$24,0))</f>
        <v>PRD-1009</v>
      </c>
      <c r="H247" s="2" t="n">
        <v>2</v>
      </c>
      <c r="I247" s="6" t="n">
        <f aca="false">ROUND(J247*INDEX('Product Summary'!$E$5:$E$24,MATCH(B247,'Product Summary'!$B$5:$B$24,0)),2)</f>
        <v>2743.4</v>
      </c>
      <c r="J247" s="6" t="n">
        <f aca="false">C247*H247</f>
        <v>12470</v>
      </c>
    </row>
    <row r="248" customFormat="false" ht="15" hidden="false" customHeight="false" outlineLevel="0" collapsed="false">
      <c r="A248" s="2" t="n">
        <v>247</v>
      </c>
      <c r="B248" s="3" t="s">
        <v>42</v>
      </c>
      <c r="C248" s="4" t="n">
        <v>1315</v>
      </c>
      <c r="D248" s="5" t="n">
        <v>46159</v>
      </c>
      <c r="E248" s="3" t="s">
        <v>129</v>
      </c>
      <c r="F248" s="2" t="str">
        <f aca="false">TEXT(D248,"mmmm")</f>
        <v>May</v>
      </c>
      <c r="G248" s="2" t="str">
        <f aca="false">INDEX('Product Summary'!$A$5:$A$24,MATCH(B248,'Product Summary'!$B$5:$B$24,0))</f>
        <v>PRD-1017</v>
      </c>
      <c r="H248" s="2" t="n">
        <v>5</v>
      </c>
      <c r="I248" s="6" t="n">
        <f aca="false">ROUND(J248*INDEX('Product Summary'!$E$5:$E$24,MATCH(B248,'Product Summary'!$B$5:$B$24,0)),2)</f>
        <v>2498.5</v>
      </c>
      <c r="J248" s="6" t="n">
        <f aca="false">C248*H248</f>
        <v>6575</v>
      </c>
    </row>
    <row r="249" customFormat="false" ht="15" hidden="false" customHeight="false" outlineLevel="0" collapsed="false">
      <c r="A249" s="2" t="n">
        <v>248</v>
      </c>
      <c r="B249" s="3" t="s">
        <v>14</v>
      </c>
      <c r="C249" s="4" t="n">
        <v>3005</v>
      </c>
      <c r="D249" s="5" t="n">
        <v>46159</v>
      </c>
      <c r="E249" s="3" t="s">
        <v>19</v>
      </c>
      <c r="F249" s="2" t="str">
        <f aca="false">TEXT(D249,"mmmm")</f>
        <v>May</v>
      </c>
      <c r="G249" s="2" t="str">
        <f aca="false">INDEX('Product Summary'!$A$5:$A$24,MATCH(B249,'Product Summary'!$B$5:$B$24,0))</f>
        <v>PRD-1005</v>
      </c>
      <c r="H249" s="2" t="n">
        <v>5</v>
      </c>
      <c r="I249" s="6" t="n">
        <f aca="false">ROUND(J249*INDEX('Product Summary'!$E$5:$E$24,MATCH(B249,'Product Summary'!$B$5:$B$24,0)),2)</f>
        <v>3906.5</v>
      </c>
      <c r="J249" s="6" t="n">
        <f aca="false">C249*H249</f>
        <v>15025</v>
      </c>
    </row>
    <row r="250" customFormat="false" ht="15" hidden="false" customHeight="false" outlineLevel="0" collapsed="false">
      <c r="A250" s="2" t="n">
        <v>249</v>
      </c>
      <c r="B250" s="3" t="s">
        <v>25</v>
      </c>
      <c r="C250" s="4" t="n">
        <v>19360</v>
      </c>
      <c r="D250" s="5" t="n">
        <v>46159</v>
      </c>
      <c r="E250" s="3" t="s">
        <v>68</v>
      </c>
      <c r="F250" s="2" t="str">
        <f aca="false">TEXT(D250,"mmmm")</f>
        <v>May</v>
      </c>
      <c r="G250" s="2" t="str">
        <f aca="false">INDEX('Product Summary'!$A$5:$A$24,MATCH(B250,'Product Summary'!$B$5:$B$24,0))</f>
        <v>PRD-1016</v>
      </c>
      <c r="H250" s="2" t="n">
        <v>1</v>
      </c>
      <c r="I250" s="6" t="n">
        <f aca="false">ROUND(J250*INDEX('Product Summary'!$E$5:$E$24,MATCH(B250,'Product Summary'!$B$5:$B$24,0)),2)</f>
        <v>3678.4</v>
      </c>
      <c r="J250" s="6" t="n">
        <f aca="false">C250*H250</f>
        <v>19360</v>
      </c>
    </row>
    <row r="251" customFormat="false" ht="15" hidden="false" customHeight="false" outlineLevel="0" collapsed="false">
      <c r="A251" s="2" t="n">
        <v>250</v>
      </c>
      <c r="B251" s="3" t="s">
        <v>43</v>
      </c>
      <c r="C251" s="4" t="n">
        <v>12145</v>
      </c>
      <c r="D251" s="5" t="n">
        <v>46160</v>
      </c>
      <c r="E251" s="3" t="s">
        <v>130</v>
      </c>
      <c r="F251" s="2" t="str">
        <f aca="false">TEXT(D251,"mmmm")</f>
        <v>May</v>
      </c>
      <c r="G251" s="2" t="str">
        <f aca="false">INDEX('Product Summary'!$A$5:$A$24,MATCH(B251,'Product Summary'!$B$5:$B$24,0))</f>
        <v>PRD-1015</v>
      </c>
      <c r="H251" s="2" t="n">
        <v>2</v>
      </c>
      <c r="I251" s="6" t="n">
        <f aca="false">ROUND(J251*INDEX('Product Summary'!$E$5:$E$24,MATCH(B251,'Product Summary'!$B$5:$B$24,0)),2)</f>
        <v>4858</v>
      </c>
      <c r="J251" s="6" t="n">
        <f aca="false">C251*H251</f>
        <v>24290</v>
      </c>
    </row>
    <row r="252" customFormat="false" ht="15" hidden="false" customHeight="false" outlineLevel="0" collapsed="false">
      <c r="A252" s="2" t="n">
        <v>251</v>
      </c>
      <c r="B252" s="3" t="s">
        <v>37</v>
      </c>
      <c r="C252" s="4" t="n">
        <v>2950</v>
      </c>
      <c r="D252" s="5" t="n">
        <v>46160</v>
      </c>
      <c r="E252" s="3" t="s">
        <v>33</v>
      </c>
      <c r="F252" s="2" t="str">
        <f aca="false">TEXT(D252,"mmmm")</f>
        <v>May</v>
      </c>
      <c r="G252" s="2" t="str">
        <f aca="false">INDEX('Product Summary'!$A$5:$A$24,MATCH(B252,'Product Summary'!$B$5:$B$24,0))</f>
        <v>PRD-1007</v>
      </c>
      <c r="H252" s="2" t="n">
        <v>3</v>
      </c>
      <c r="I252" s="6" t="n">
        <f aca="false">ROUND(J252*INDEX('Product Summary'!$E$5:$E$24,MATCH(B252,'Product Summary'!$B$5:$B$24,0)),2)</f>
        <v>2566.5</v>
      </c>
      <c r="J252" s="6" t="n">
        <f aca="false">C252*H252</f>
        <v>8850</v>
      </c>
    </row>
    <row r="253" customFormat="false" ht="15" hidden="false" customHeight="false" outlineLevel="0" collapsed="false">
      <c r="A253" s="2" t="n">
        <v>252</v>
      </c>
      <c r="B253" s="3" t="s">
        <v>18</v>
      </c>
      <c r="C253" s="4" t="n">
        <v>1885</v>
      </c>
      <c r="D253" s="5" t="n">
        <v>46160</v>
      </c>
      <c r="E253" s="3" t="s">
        <v>128</v>
      </c>
      <c r="F253" s="2" t="str">
        <f aca="false">TEXT(D253,"mmmm")</f>
        <v>May</v>
      </c>
      <c r="G253" s="2" t="str">
        <f aca="false">INDEX('Product Summary'!$A$5:$A$24,MATCH(B253,'Product Summary'!$B$5:$B$24,0))</f>
        <v>PRD-1003</v>
      </c>
      <c r="H253" s="2" t="n">
        <v>4</v>
      </c>
      <c r="I253" s="6" t="n">
        <f aca="false">ROUND(J253*INDEX('Product Summary'!$E$5:$E$24,MATCH(B253,'Product Summary'!$B$5:$B$24,0)),2)</f>
        <v>2639</v>
      </c>
      <c r="J253" s="6" t="n">
        <f aca="false">C253*H253</f>
        <v>7540</v>
      </c>
    </row>
    <row r="254" customFormat="false" ht="15" hidden="false" customHeight="false" outlineLevel="0" collapsed="false">
      <c r="A254" s="2" t="n">
        <v>253</v>
      </c>
      <c r="B254" s="3" t="s">
        <v>37</v>
      </c>
      <c r="C254" s="4" t="n">
        <v>2790</v>
      </c>
      <c r="D254" s="5" t="n">
        <v>46161</v>
      </c>
      <c r="E254" s="3" t="s">
        <v>71</v>
      </c>
      <c r="F254" s="2" t="str">
        <f aca="false">TEXT(D254,"mmmm")</f>
        <v>May</v>
      </c>
      <c r="G254" s="2" t="str">
        <f aca="false">INDEX('Product Summary'!$A$5:$A$24,MATCH(B254,'Product Summary'!$B$5:$B$24,0))</f>
        <v>PRD-1007</v>
      </c>
      <c r="H254" s="2" t="n">
        <v>2</v>
      </c>
      <c r="I254" s="6" t="n">
        <f aca="false">ROUND(J254*INDEX('Product Summary'!$E$5:$E$24,MATCH(B254,'Product Summary'!$B$5:$B$24,0)),2)</f>
        <v>1618.2</v>
      </c>
      <c r="J254" s="6" t="n">
        <f aca="false">C254*H254</f>
        <v>5580</v>
      </c>
    </row>
    <row r="255" customFormat="false" ht="15" hidden="false" customHeight="false" outlineLevel="0" collapsed="false">
      <c r="A255" s="2" t="n">
        <v>254</v>
      </c>
      <c r="B255" s="3" t="s">
        <v>48</v>
      </c>
      <c r="C255" s="4" t="n">
        <v>4075</v>
      </c>
      <c r="D255" s="5" t="n">
        <v>46161</v>
      </c>
      <c r="E255" s="3" t="s">
        <v>131</v>
      </c>
      <c r="F255" s="2" t="str">
        <f aca="false">TEXT(D255,"mmmm")</f>
        <v>May</v>
      </c>
      <c r="G255" s="2" t="str">
        <f aca="false">INDEX('Product Summary'!$A$5:$A$24,MATCH(B255,'Product Summary'!$B$5:$B$24,0))</f>
        <v>PRD-1013</v>
      </c>
      <c r="H255" s="2" t="n">
        <v>5</v>
      </c>
      <c r="I255" s="6" t="n">
        <f aca="false">ROUND(J255*INDEX('Product Summary'!$E$5:$E$24,MATCH(B255,'Product Summary'!$B$5:$B$24,0)),2)</f>
        <v>4890</v>
      </c>
      <c r="J255" s="6" t="n">
        <f aca="false">C255*H255</f>
        <v>20375</v>
      </c>
    </row>
    <row r="256" customFormat="false" ht="15" hidden="false" customHeight="false" outlineLevel="0" collapsed="false">
      <c r="A256" s="2" t="n">
        <v>255</v>
      </c>
      <c r="B256" s="3" t="s">
        <v>18</v>
      </c>
      <c r="C256" s="4" t="n">
        <v>1670</v>
      </c>
      <c r="D256" s="5" t="n">
        <v>46162</v>
      </c>
      <c r="E256" s="3" t="s">
        <v>112</v>
      </c>
      <c r="F256" s="2" t="str">
        <f aca="false">TEXT(D256,"mmmm")</f>
        <v>May</v>
      </c>
      <c r="G256" s="2" t="str">
        <f aca="false">INDEX('Product Summary'!$A$5:$A$24,MATCH(B256,'Product Summary'!$B$5:$B$24,0))</f>
        <v>PRD-1003</v>
      </c>
      <c r="H256" s="2" t="n">
        <v>6</v>
      </c>
      <c r="I256" s="6" t="n">
        <f aca="false">ROUND(J256*INDEX('Product Summary'!$E$5:$E$24,MATCH(B256,'Product Summary'!$B$5:$B$24,0)),2)</f>
        <v>3507</v>
      </c>
      <c r="J256" s="6" t="n">
        <f aca="false">C256*H256</f>
        <v>10020</v>
      </c>
    </row>
    <row r="257" customFormat="false" ht="15" hidden="false" customHeight="false" outlineLevel="0" collapsed="false">
      <c r="A257" s="2" t="n">
        <v>256</v>
      </c>
      <c r="B257" s="3" t="s">
        <v>48</v>
      </c>
      <c r="C257" s="4" t="n">
        <v>4020</v>
      </c>
      <c r="D257" s="5" t="n">
        <v>46163</v>
      </c>
      <c r="E257" s="3" t="s">
        <v>86</v>
      </c>
      <c r="F257" s="2" t="str">
        <f aca="false">TEXT(D257,"mmmm")</f>
        <v>May</v>
      </c>
      <c r="G257" s="2" t="str">
        <f aca="false">INDEX('Product Summary'!$A$5:$A$24,MATCH(B257,'Product Summary'!$B$5:$B$24,0))</f>
        <v>PRD-1013</v>
      </c>
      <c r="H257" s="2" t="n">
        <v>3</v>
      </c>
      <c r="I257" s="6" t="n">
        <f aca="false">ROUND(J257*INDEX('Product Summary'!$E$5:$E$24,MATCH(B257,'Product Summary'!$B$5:$B$24,0)),2)</f>
        <v>2894.4</v>
      </c>
      <c r="J257" s="6" t="n">
        <f aca="false">C257*H257</f>
        <v>12060</v>
      </c>
    </row>
    <row r="258" customFormat="false" ht="15" hidden="false" customHeight="false" outlineLevel="0" collapsed="false">
      <c r="A258" s="2" t="n">
        <v>257</v>
      </c>
      <c r="B258" s="3" t="s">
        <v>45</v>
      </c>
      <c r="C258" s="4" t="n">
        <v>2500</v>
      </c>
      <c r="D258" s="5" t="n">
        <v>46163</v>
      </c>
      <c r="E258" s="3" t="s">
        <v>81</v>
      </c>
      <c r="F258" s="2" t="str">
        <f aca="false">TEXT(D258,"mmmm")</f>
        <v>May</v>
      </c>
      <c r="G258" s="2" t="str">
        <f aca="false">INDEX('Product Summary'!$A$5:$A$24,MATCH(B258,'Product Summary'!$B$5:$B$24,0))</f>
        <v>PRD-1010</v>
      </c>
      <c r="H258" s="2" t="n">
        <v>1</v>
      </c>
      <c r="I258" s="6" t="n">
        <f aca="false">ROUND(J258*INDEX('Product Summary'!$E$5:$E$24,MATCH(B258,'Product Summary'!$B$5:$B$24,0)),2)</f>
        <v>625</v>
      </c>
      <c r="J258" s="6" t="n">
        <f aca="false">C258*H258</f>
        <v>2500</v>
      </c>
    </row>
    <row r="259" customFormat="false" ht="15" hidden="false" customHeight="false" outlineLevel="0" collapsed="false">
      <c r="A259" s="2" t="n">
        <v>258</v>
      </c>
      <c r="B259" s="3" t="s">
        <v>27</v>
      </c>
      <c r="C259" s="4" t="n">
        <v>2285</v>
      </c>
      <c r="D259" s="5" t="n">
        <v>46163</v>
      </c>
      <c r="E259" s="3" t="s">
        <v>53</v>
      </c>
      <c r="F259" s="2" t="str">
        <f aca="false">TEXT(D259,"mmmm")</f>
        <v>May</v>
      </c>
      <c r="G259" s="2" t="str">
        <f aca="false">INDEX('Product Summary'!$A$5:$A$24,MATCH(B259,'Product Summary'!$B$5:$B$24,0))</f>
        <v>PRD-1004</v>
      </c>
      <c r="H259" s="2" t="n">
        <v>2</v>
      </c>
      <c r="I259" s="6" t="n">
        <f aca="false">ROUND(J259*INDEX('Product Summary'!$E$5:$E$24,MATCH(B259,'Product Summary'!$B$5:$B$24,0)),2)</f>
        <v>1371</v>
      </c>
      <c r="J259" s="6" t="n">
        <f aca="false">C259*H259</f>
        <v>4570</v>
      </c>
    </row>
    <row r="260" customFormat="false" ht="15" hidden="false" customHeight="false" outlineLevel="0" collapsed="false">
      <c r="A260" s="2" t="n">
        <v>259</v>
      </c>
      <c r="B260" s="3" t="s">
        <v>31</v>
      </c>
      <c r="C260" s="4" t="n">
        <v>23905</v>
      </c>
      <c r="D260" s="5" t="n">
        <v>46164</v>
      </c>
      <c r="E260" s="3" t="s">
        <v>103</v>
      </c>
      <c r="F260" s="2" t="str">
        <f aca="false">TEXT(D260,"mmmm")</f>
        <v>May</v>
      </c>
      <c r="G260" s="2" t="str">
        <f aca="false">INDEX('Product Summary'!$A$5:$A$24,MATCH(B260,'Product Summary'!$B$5:$B$24,0))</f>
        <v>PRD-1020</v>
      </c>
      <c r="H260" s="2" t="n">
        <v>3</v>
      </c>
      <c r="I260" s="6" t="n">
        <f aca="false">ROUND(J260*INDEX('Product Summary'!$E$5:$E$24,MATCH(B260,'Product Summary'!$B$5:$B$24,0)),2)</f>
        <v>7171.5</v>
      </c>
      <c r="J260" s="6" t="n">
        <f aca="false">C260*H260</f>
        <v>71715</v>
      </c>
    </row>
    <row r="261" customFormat="false" ht="15" hidden="false" customHeight="false" outlineLevel="0" collapsed="false">
      <c r="A261" s="2" t="n">
        <v>260</v>
      </c>
      <c r="B261" s="3" t="s">
        <v>52</v>
      </c>
      <c r="C261" s="4" t="n">
        <v>3245</v>
      </c>
      <c r="D261" s="5" t="n">
        <v>46164</v>
      </c>
      <c r="E261" s="3" t="s">
        <v>44</v>
      </c>
      <c r="F261" s="2" t="str">
        <f aca="false">TEXT(D261,"mmmm")</f>
        <v>May</v>
      </c>
      <c r="G261" s="2" t="str">
        <f aca="false">INDEX('Product Summary'!$A$5:$A$24,MATCH(B261,'Product Summary'!$B$5:$B$24,0))</f>
        <v>PRD-1002</v>
      </c>
      <c r="H261" s="2" t="n">
        <v>5</v>
      </c>
      <c r="I261" s="6" t="n">
        <f aca="false">ROUND(J261*INDEX('Product Summary'!$E$5:$E$24,MATCH(B261,'Product Summary'!$B$5:$B$24,0)),2)</f>
        <v>4543</v>
      </c>
      <c r="J261" s="6" t="n">
        <f aca="false">C261*H261</f>
        <v>16225</v>
      </c>
    </row>
    <row r="262" customFormat="false" ht="15" hidden="false" customHeight="false" outlineLevel="0" collapsed="false">
      <c r="A262" s="2" t="n">
        <v>261</v>
      </c>
      <c r="B262" s="3" t="s">
        <v>64</v>
      </c>
      <c r="C262" s="4" t="n">
        <v>12730</v>
      </c>
      <c r="D262" s="5" t="n">
        <v>46165</v>
      </c>
      <c r="E262" s="3" t="s">
        <v>26</v>
      </c>
      <c r="F262" s="2" t="str">
        <f aca="false">TEXT(D262,"mmmm")</f>
        <v>May</v>
      </c>
      <c r="G262" s="2" t="str">
        <f aca="false">INDEX('Product Summary'!$A$5:$A$24,MATCH(B262,'Product Summary'!$B$5:$B$24,0))</f>
        <v>PRD-1014</v>
      </c>
      <c r="H262" s="2" t="n">
        <v>3</v>
      </c>
      <c r="I262" s="6" t="n">
        <f aca="false">ROUND(J262*INDEX('Product Summary'!$E$5:$E$24,MATCH(B262,'Product Summary'!$B$5:$B$24,0)),2)</f>
        <v>6110.4</v>
      </c>
      <c r="J262" s="6" t="n">
        <f aca="false">C262*H262</f>
        <v>38190</v>
      </c>
    </row>
    <row r="263" customFormat="false" ht="15" hidden="false" customHeight="false" outlineLevel="0" collapsed="false">
      <c r="A263" s="2" t="n">
        <v>262</v>
      </c>
      <c r="B263" s="3" t="s">
        <v>52</v>
      </c>
      <c r="C263" s="4" t="n">
        <v>3240</v>
      </c>
      <c r="D263" s="5" t="n">
        <v>46165</v>
      </c>
      <c r="E263" s="3" t="s">
        <v>127</v>
      </c>
      <c r="F263" s="2" t="str">
        <f aca="false">TEXT(D263,"mmmm")</f>
        <v>May</v>
      </c>
      <c r="G263" s="2" t="str">
        <f aca="false">INDEX('Product Summary'!$A$5:$A$24,MATCH(B263,'Product Summary'!$B$5:$B$24,0))</f>
        <v>PRD-1002</v>
      </c>
      <c r="H263" s="2" t="n">
        <v>1</v>
      </c>
      <c r="I263" s="6" t="n">
        <f aca="false">ROUND(J263*INDEX('Product Summary'!$E$5:$E$24,MATCH(B263,'Product Summary'!$B$5:$B$24,0)),2)</f>
        <v>907.2</v>
      </c>
      <c r="J263" s="6" t="n">
        <f aca="false">C263*H263</f>
        <v>3240</v>
      </c>
    </row>
    <row r="264" customFormat="false" ht="15" hidden="false" customHeight="false" outlineLevel="0" collapsed="false">
      <c r="A264" s="2" t="n">
        <v>263</v>
      </c>
      <c r="B264" s="3" t="s">
        <v>14</v>
      </c>
      <c r="C264" s="4" t="n">
        <v>2910</v>
      </c>
      <c r="D264" s="5" t="n">
        <v>46166</v>
      </c>
      <c r="E264" s="3" t="s">
        <v>81</v>
      </c>
      <c r="F264" s="2" t="str">
        <f aca="false">TEXT(D264,"mmmm")</f>
        <v>May</v>
      </c>
      <c r="G264" s="2" t="str">
        <f aca="false">INDEX('Product Summary'!$A$5:$A$24,MATCH(B264,'Product Summary'!$B$5:$B$24,0))</f>
        <v>PRD-1005</v>
      </c>
      <c r="H264" s="2" t="n">
        <v>4</v>
      </c>
      <c r="I264" s="6" t="n">
        <f aca="false">ROUND(J264*INDEX('Product Summary'!$E$5:$E$24,MATCH(B264,'Product Summary'!$B$5:$B$24,0)),2)</f>
        <v>3026.4</v>
      </c>
      <c r="J264" s="6" t="n">
        <f aca="false">C264*H264</f>
        <v>11640</v>
      </c>
    </row>
    <row r="265" customFormat="false" ht="15" hidden="false" customHeight="false" outlineLevel="0" collapsed="false">
      <c r="A265" s="2" t="n">
        <v>264</v>
      </c>
      <c r="B265" s="3" t="s">
        <v>12</v>
      </c>
      <c r="C265" s="4" t="n">
        <v>755</v>
      </c>
      <c r="D265" s="5" t="n">
        <v>46166</v>
      </c>
      <c r="E265" s="3" t="s">
        <v>54</v>
      </c>
      <c r="F265" s="2" t="str">
        <f aca="false">TEXT(D265,"mmmm")</f>
        <v>May</v>
      </c>
      <c r="G265" s="2" t="str">
        <f aca="false">INDEX('Product Summary'!$A$5:$A$24,MATCH(B265,'Product Summary'!$B$5:$B$24,0))</f>
        <v>PRD-1001</v>
      </c>
      <c r="H265" s="2" t="n">
        <v>3</v>
      </c>
      <c r="I265" s="6" t="n">
        <f aca="false">ROUND(J265*INDEX('Product Summary'!$E$5:$E$24,MATCH(B265,'Product Summary'!$B$5:$B$24,0)),2)</f>
        <v>724.8</v>
      </c>
      <c r="J265" s="6" t="n">
        <f aca="false">C265*H265</f>
        <v>2265</v>
      </c>
    </row>
    <row r="266" customFormat="false" ht="15" hidden="false" customHeight="false" outlineLevel="0" collapsed="false">
      <c r="A266" s="2" t="n">
        <v>265</v>
      </c>
      <c r="B266" s="3" t="s">
        <v>48</v>
      </c>
      <c r="C266" s="4" t="n">
        <v>3890</v>
      </c>
      <c r="D266" s="5" t="n">
        <v>46167</v>
      </c>
      <c r="E266" s="3" t="s">
        <v>69</v>
      </c>
      <c r="F266" s="2" t="str">
        <f aca="false">TEXT(D266,"mmmm")</f>
        <v>May</v>
      </c>
      <c r="G266" s="2" t="str">
        <f aca="false">INDEX('Product Summary'!$A$5:$A$24,MATCH(B266,'Product Summary'!$B$5:$B$24,0))</f>
        <v>PRD-1013</v>
      </c>
      <c r="H266" s="2" t="n">
        <v>2</v>
      </c>
      <c r="I266" s="6" t="n">
        <f aca="false">ROUND(J266*INDEX('Product Summary'!$E$5:$E$24,MATCH(B266,'Product Summary'!$B$5:$B$24,0)),2)</f>
        <v>1867.2</v>
      </c>
      <c r="J266" s="6" t="n">
        <f aca="false">C266*H266</f>
        <v>7780</v>
      </c>
    </row>
    <row r="267" customFormat="false" ht="15" hidden="false" customHeight="false" outlineLevel="0" collapsed="false">
      <c r="A267" s="2" t="n">
        <v>266</v>
      </c>
      <c r="B267" s="3" t="s">
        <v>27</v>
      </c>
      <c r="C267" s="4" t="n">
        <v>2275</v>
      </c>
      <c r="D267" s="5" t="n">
        <v>46167</v>
      </c>
      <c r="E267" s="3" t="s">
        <v>96</v>
      </c>
      <c r="F267" s="2" t="str">
        <f aca="false">TEXT(D267,"mmmm")</f>
        <v>May</v>
      </c>
      <c r="G267" s="2" t="str">
        <f aca="false">INDEX('Product Summary'!$A$5:$A$24,MATCH(B267,'Product Summary'!$B$5:$B$24,0))</f>
        <v>PRD-1004</v>
      </c>
      <c r="H267" s="2" t="n">
        <v>3</v>
      </c>
      <c r="I267" s="6" t="n">
        <f aca="false">ROUND(J267*INDEX('Product Summary'!$E$5:$E$24,MATCH(B267,'Product Summary'!$B$5:$B$24,0)),2)</f>
        <v>2047.5</v>
      </c>
      <c r="J267" s="6" t="n">
        <f aca="false">C267*H267</f>
        <v>6825</v>
      </c>
    </row>
    <row r="268" customFormat="false" ht="15" hidden="false" customHeight="false" outlineLevel="0" collapsed="false">
      <c r="A268" s="2" t="n">
        <v>267</v>
      </c>
      <c r="B268" s="3" t="s">
        <v>14</v>
      </c>
      <c r="C268" s="4" t="n">
        <v>3145</v>
      </c>
      <c r="D268" s="5" t="n">
        <v>46168</v>
      </c>
      <c r="E268" s="3" t="s">
        <v>126</v>
      </c>
      <c r="F268" s="2" t="str">
        <f aca="false">TEXT(D268,"mmmm")</f>
        <v>May</v>
      </c>
      <c r="G268" s="2" t="str">
        <f aca="false">INDEX('Product Summary'!$A$5:$A$24,MATCH(B268,'Product Summary'!$B$5:$B$24,0))</f>
        <v>PRD-1005</v>
      </c>
      <c r="H268" s="2" t="n">
        <v>2</v>
      </c>
      <c r="I268" s="6" t="n">
        <f aca="false">ROUND(J268*INDEX('Product Summary'!$E$5:$E$24,MATCH(B268,'Product Summary'!$B$5:$B$24,0)),2)</f>
        <v>1635.4</v>
      </c>
      <c r="J268" s="6" t="n">
        <f aca="false">C268*H268</f>
        <v>6290</v>
      </c>
    </row>
    <row r="269" customFormat="false" ht="15" hidden="false" customHeight="false" outlineLevel="0" collapsed="false">
      <c r="A269" s="2" t="n">
        <v>268</v>
      </c>
      <c r="B269" s="3" t="s">
        <v>22</v>
      </c>
      <c r="C269" s="4" t="n">
        <v>8315</v>
      </c>
      <c r="D269" s="5" t="n">
        <v>46169</v>
      </c>
      <c r="E269" s="3" t="s">
        <v>70</v>
      </c>
      <c r="F269" s="2" t="str">
        <f aca="false">TEXT(D269,"mmmm")</f>
        <v>May</v>
      </c>
      <c r="G269" s="2" t="str">
        <f aca="false">INDEX('Product Summary'!$A$5:$A$24,MATCH(B269,'Product Summary'!$B$5:$B$24,0))</f>
        <v>PRD-1008</v>
      </c>
      <c r="H269" s="2" t="n">
        <v>1</v>
      </c>
      <c r="I269" s="6" t="n">
        <f aca="false">ROUND(J269*INDEX('Product Summary'!$E$5:$E$24,MATCH(B269,'Product Summary'!$B$5:$B$24,0)),2)</f>
        <v>1995.6</v>
      </c>
      <c r="J269" s="6" t="n">
        <f aca="false">C269*H269</f>
        <v>8315</v>
      </c>
    </row>
    <row r="270" customFormat="false" ht="15" hidden="false" customHeight="false" outlineLevel="0" collapsed="false">
      <c r="A270" s="2" t="n">
        <v>269</v>
      </c>
      <c r="B270" s="3" t="s">
        <v>42</v>
      </c>
      <c r="C270" s="4" t="n">
        <v>1305</v>
      </c>
      <c r="D270" s="5" t="n">
        <v>46170</v>
      </c>
      <c r="E270" s="3" t="s">
        <v>88</v>
      </c>
      <c r="F270" s="2" t="str">
        <f aca="false">TEXT(D270,"mmmm")</f>
        <v>May</v>
      </c>
      <c r="G270" s="2" t="str">
        <f aca="false">INDEX('Product Summary'!$A$5:$A$24,MATCH(B270,'Product Summary'!$B$5:$B$24,0))</f>
        <v>PRD-1017</v>
      </c>
      <c r="H270" s="2" t="n">
        <v>6</v>
      </c>
      <c r="I270" s="6" t="n">
        <f aca="false">ROUND(J270*INDEX('Product Summary'!$E$5:$E$24,MATCH(B270,'Product Summary'!$B$5:$B$24,0)),2)</f>
        <v>2975.4</v>
      </c>
      <c r="J270" s="6" t="n">
        <f aca="false">C270*H270</f>
        <v>7830</v>
      </c>
    </row>
    <row r="271" customFormat="false" ht="15" hidden="false" customHeight="false" outlineLevel="0" collapsed="false">
      <c r="A271" s="2" t="n">
        <v>270</v>
      </c>
      <c r="B271" s="3" t="s">
        <v>12</v>
      </c>
      <c r="C271" s="4" t="n">
        <v>800</v>
      </c>
      <c r="D271" s="5" t="n">
        <v>46171</v>
      </c>
      <c r="E271" s="3" t="s">
        <v>69</v>
      </c>
      <c r="F271" s="2" t="str">
        <f aca="false">TEXT(D271,"mmmm")</f>
        <v>May</v>
      </c>
      <c r="G271" s="2" t="str">
        <f aca="false">INDEX('Product Summary'!$A$5:$A$24,MATCH(B271,'Product Summary'!$B$5:$B$24,0))</f>
        <v>PRD-1001</v>
      </c>
      <c r="H271" s="2" t="n">
        <v>9</v>
      </c>
      <c r="I271" s="6" t="n">
        <f aca="false">ROUND(J271*INDEX('Product Summary'!$E$5:$E$24,MATCH(B271,'Product Summary'!$B$5:$B$24,0)),2)</f>
        <v>2304</v>
      </c>
      <c r="J271" s="6" t="n">
        <f aca="false">C271*H271</f>
        <v>7200</v>
      </c>
    </row>
    <row r="272" customFormat="false" ht="15" hidden="false" customHeight="false" outlineLevel="0" collapsed="false">
      <c r="A272" s="2" t="n">
        <v>271</v>
      </c>
      <c r="B272" s="3" t="s">
        <v>12</v>
      </c>
      <c r="C272" s="4" t="n">
        <v>805</v>
      </c>
      <c r="D272" s="5" t="n">
        <v>46172</v>
      </c>
      <c r="E272" s="3" t="s">
        <v>59</v>
      </c>
      <c r="F272" s="2" t="str">
        <f aca="false">TEXT(D272,"mmmm")</f>
        <v>May</v>
      </c>
      <c r="G272" s="2" t="str">
        <f aca="false">INDEX('Product Summary'!$A$5:$A$24,MATCH(B272,'Product Summary'!$B$5:$B$24,0))</f>
        <v>PRD-1001</v>
      </c>
      <c r="H272" s="2" t="n">
        <v>10</v>
      </c>
      <c r="I272" s="6" t="n">
        <f aca="false">ROUND(J272*INDEX('Product Summary'!$E$5:$E$24,MATCH(B272,'Product Summary'!$B$5:$B$24,0)),2)</f>
        <v>2576</v>
      </c>
      <c r="J272" s="6" t="n">
        <f aca="false">C272*H272</f>
        <v>8050</v>
      </c>
    </row>
    <row r="273" customFormat="false" ht="15" hidden="false" customHeight="false" outlineLevel="0" collapsed="false">
      <c r="A273" s="2" t="n">
        <v>272</v>
      </c>
      <c r="B273" s="3" t="s">
        <v>52</v>
      </c>
      <c r="C273" s="4" t="n">
        <v>3230</v>
      </c>
      <c r="D273" s="5" t="n">
        <v>46172</v>
      </c>
      <c r="E273" s="3" t="s">
        <v>33</v>
      </c>
      <c r="F273" s="2" t="str">
        <f aca="false">TEXT(D273,"mmmm")</f>
        <v>May</v>
      </c>
      <c r="G273" s="2" t="str">
        <f aca="false">INDEX('Product Summary'!$A$5:$A$24,MATCH(B273,'Product Summary'!$B$5:$B$24,0))</f>
        <v>PRD-1002</v>
      </c>
      <c r="H273" s="2" t="n">
        <v>3</v>
      </c>
      <c r="I273" s="6" t="n">
        <f aca="false">ROUND(J273*INDEX('Product Summary'!$E$5:$E$24,MATCH(B273,'Product Summary'!$B$5:$B$24,0)),2)</f>
        <v>2713.2</v>
      </c>
      <c r="J273" s="6" t="n">
        <f aca="false">C273*H273</f>
        <v>9690</v>
      </c>
    </row>
    <row r="274" customFormat="false" ht="15" hidden="false" customHeight="false" outlineLevel="0" collapsed="false">
      <c r="A274" s="2" t="n">
        <v>273</v>
      </c>
      <c r="B274" s="3" t="s">
        <v>37</v>
      </c>
      <c r="C274" s="4" t="n">
        <v>2780</v>
      </c>
      <c r="D274" s="5" t="n">
        <v>46172</v>
      </c>
      <c r="E274" s="3" t="s">
        <v>85</v>
      </c>
      <c r="F274" s="2" t="str">
        <f aca="false">TEXT(D274,"mmmm")</f>
        <v>May</v>
      </c>
      <c r="G274" s="2" t="str">
        <f aca="false">INDEX('Product Summary'!$A$5:$A$24,MATCH(B274,'Product Summary'!$B$5:$B$24,0))</f>
        <v>PRD-1007</v>
      </c>
      <c r="H274" s="2" t="n">
        <v>3</v>
      </c>
      <c r="I274" s="6" t="n">
        <f aca="false">ROUND(J274*INDEX('Product Summary'!$E$5:$E$24,MATCH(B274,'Product Summary'!$B$5:$B$24,0)),2)</f>
        <v>2418.6</v>
      </c>
      <c r="J274" s="6" t="n">
        <f aca="false">C274*H274</f>
        <v>8340</v>
      </c>
    </row>
    <row r="275" customFormat="false" ht="15" hidden="false" customHeight="false" outlineLevel="0" collapsed="false">
      <c r="A275" s="2" t="n">
        <v>274</v>
      </c>
      <c r="B275" s="3" t="s">
        <v>52</v>
      </c>
      <c r="C275" s="4" t="n">
        <v>3625</v>
      </c>
      <c r="D275" s="5" t="n">
        <v>46175</v>
      </c>
      <c r="E275" s="3" t="s">
        <v>86</v>
      </c>
      <c r="F275" s="2" t="str">
        <f aca="false">TEXT(D275,"mmmm")</f>
        <v>June</v>
      </c>
      <c r="G275" s="2" t="str">
        <f aca="false">INDEX('Product Summary'!$A$5:$A$24,MATCH(B275,'Product Summary'!$B$5:$B$24,0))</f>
        <v>PRD-1002</v>
      </c>
      <c r="H275" s="2" t="n">
        <v>2</v>
      </c>
      <c r="I275" s="6" t="n">
        <f aca="false">ROUND(J275*INDEX('Product Summary'!$E$5:$E$24,MATCH(B275,'Product Summary'!$B$5:$B$24,0)),2)</f>
        <v>2030</v>
      </c>
      <c r="J275" s="6" t="n">
        <f aca="false">C275*H275</f>
        <v>7250</v>
      </c>
    </row>
    <row r="276" customFormat="false" ht="15" hidden="false" customHeight="false" outlineLevel="0" collapsed="false">
      <c r="A276" s="2" t="n">
        <v>275</v>
      </c>
      <c r="B276" s="3" t="s">
        <v>14</v>
      </c>
      <c r="C276" s="4" t="n">
        <v>2990</v>
      </c>
      <c r="D276" s="5" t="n">
        <v>46177</v>
      </c>
      <c r="E276" s="3" t="s">
        <v>71</v>
      </c>
      <c r="F276" s="2" t="str">
        <f aca="false">TEXT(D276,"mmmm")</f>
        <v>June</v>
      </c>
      <c r="G276" s="2" t="str">
        <f aca="false">INDEX('Product Summary'!$A$5:$A$24,MATCH(B276,'Product Summary'!$B$5:$B$24,0))</f>
        <v>PRD-1005</v>
      </c>
      <c r="H276" s="2" t="n">
        <v>5</v>
      </c>
      <c r="I276" s="6" t="n">
        <f aca="false">ROUND(J276*INDEX('Product Summary'!$E$5:$E$24,MATCH(B276,'Product Summary'!$B$5:$B$24,0)),2)</f>
        <v>3887</v>
      </c>
      <c r="J276" s="6" t="n">
        <f aca="false">C276*H276</f>
        <v>14950</v>
      </c>
    </row>
    <row r="277" customFormat="false" ht="15" hidden="false" customHeight="false" outlineLevel="0" collapsed="false">
      <c r="A277" s="2" t="n">
        <v>276</v>
      </c>
      <c r="B277" s="3" t="s">
        <v>52</v>
      </c>
      <c r="C277" s="4" t="n">
        <v>3595</v>
      </c>
      <c r="D277" s="5" t="n">
        <v>46179</v>
      </c>
      <c r="E277" s="3" t="s">
        <v>24</v>
      </c>
      <c r="F277" s="2" t="str">
        <f aca="false">TEXT(D277,"mmmm")</f>
        <v>June</v>
      </c>
      <c r="G277" s="2" t="str">
        <f aca="false">INDEX('Product Summary'!$A$5:$A$24,MATCH(B277,'Product Summary'!$B$5:$B$24,0))</f>
        <v>PRD-1002</v>
      </c>
      <c r="H277" s="2" t="n">
        <v>5</v>
      </c>
      <c r="I277" s="6" t="n">
        <f aca="false">ROUND(J277*INDEX('Product Summary'!$E$5:$E$24,MATCH(B277,'Product Summary'!$B$5:$B$24,0)),2)</f>
        <v>5033</v>
      </c>
      <c r="J277" s="6" t="n">
        <f aca="false">C277*H277</f>
        <v>17975</v>
      </c>
    </row>
    <row r="278" customFormat="false" ht="15" hidden="false" customHeight="false" outlineLevel="0" collapsed="false">
      <c r="A278" s="2" t="n">
        <v>277</v>
      </c>
      <c r="B278" s="3" t="s">
        <v>104</v>
      </c>
      <c r="C278" s="4" t="n">
        <v>8705</v>
      </c>
      <c r="D278" s="5" t="n">
        <v>46180</v>
      </c>
      <c r="E278" s="3" t="s">
        <v>76</v>
      </c>
      <c r="F278" s="2" t="str">
        <f aca="false">TEXT(D278,"mmmm")</f>
        <v>June</v>
      </c>
      <c r="G278" s="2" t="str">
        <f aca="false">INDEX('Product Summary'!$A$5:$A$24,MATCH(B278,'Product Summary'!$B$5:$B$24,0))</f>
        <v>PRD-1012</v>
      </c>
      <c r="H278" s="2" t="n">
        <v>3</v>
      </c>
      <c r="I278" s="6" t="n">
        <f aca="false">ROUND(J278*INDEX('Product Summary'!$E$5:$E$24,MATCH(B278,'Product Summary'!$B$5:$B$24,0)),2)</f>
        <v>4700.7</v>
      </c>
      <c r="J278" s="6" t="n">
        <f aca="false">C278*H278</f>
        <v>26115</v>
      </c>
    </row>
    <row r="279" customFormat="false" ht="15" hidden="false" customHeight="false" outlineLevel="0" collapsed="false">
      <c r="A279" s="2" t="n">
        <v>278</v>
      </c>
      <c r="B279" s="3" t="s">
        <v>48</v>
      </c>
      <c r="C279" s="4" t="n">
        <v>3830</v>
      </c>
      <c r="D279" s="5" t="n">
        <v>46181</v>
      </c>
      <c r="E279" s="3" t="s">
        <v>113</v>
      </c>
      <c r="F279" s="2" t="str">
        <f aca="false">TEXT(D279,"mmmm")</f>
        <v>June</v>
      </c>
      <c r="G279" s="2" t="str">
        <f aca="false">INDEX('Product Summary'!$A$5:$A$24,MATCH(B279,'Product Summary'!$B$5:$B$24,0))</f>
        <v>PRD-1013</v>
      </c>
      <c r="H279" s="2" t="n">
        <v>1</v>
      </c>
      <c r="I279" s="6" t="n">
        <f aca="false">ROUND(J279*INDEX('Product Summary'!$E$5:$E$24,MATCH(B279,'Product Summary'!$B$5:$B$24,0)),2)</f>
        <v>919.2</v>
      </c>
      <c r="J279" s="6" t="n">
        <f aca="false">C279*H279</f>
        <v>3830</v>
      </c>
    </row>
    <row r="280" customFormat="false" ht="15" hidden="false" customHeight="false" outlineLevel="0" collapsed="false">
      <c r="A280" s="2" t="n">
        <v>279</v>
      </c>
      <c r="B280" s="3" t="s">
        <v>42</v>
      </c>
      <c r="C280" s="4" t="n">
        <v>1305</v>
      </c>
      <c r="D280" s="5" t="n">
        <v>46182</v>
      </c>
      <c r="E280" s="3" t="s">
        <v>65</v>
      </c>
      <c r="F280" s="2" t="str">
        <f aca="false">TEXT(D280,"mmmm")</f>
        <v>June</v>
      </c>
      <c r="G280" s="2" t="str">
        <f aca="false">INDEX('Product Summary'!$A$5:$A$24,MATCH(B280,'Product Summary'!$B$5:$B$24,0))</f>
        <v>PRD-1017</v>
      </c>
      <c r="H280" s="2" t="n">
        <v>8</v>
      </c>
      <c r="I280" s="6" t="n">
        <f aca="false">ROUND(J280*INDEX('Product Summary'!$E$5:$E$24,MATCH(B280,'Product Summary'!$B$5:$B$24,0)),2)</f>
        <v>3967.2</v>
      </c>
      <c r="J280" s="6" t="n">
        <f aca="false">C280*H280</f>
        <v>10440</v>
      </c>
    </row>
    <row r="281" customFormat="false" ht="15" hidden="false" customHeight="false" outlineLevel="0" collapsed="false">
      <c r="A281" s="2" t="n">
        <v>280</v>
      </c>
      <c r="B281" s="3" t="s">
        <v>14</v>
      </c>
      <c r="C281" s="4" t="n">
        <v>2840</v>
      </c>
      <c r="D281" s="5" t="n">
        <v>46184</v>
      </c>
      <c r="E281" s="3" t="s">
        <v>13</v>
      </c>
      <c r="F281" s="2" t="str">
        <f aca="false">TEXT(D281,"mmmm")</f>
        <v>June</v>
      </c>
      <c r="G281" s="2" t="str">
        <f aca="false">INDEX('Product Summary'!$A$5:$A$24,MATCH(B281,'Product Summary'!$B$5:$B$24,0))</f>
        <v>PRD-1005</v>
      </c>
      <c r="H281" s="2" t="n">
        <v>5</v>
      </c>
      <c r="I281" s="6" t="n">
        <f aca="false">ROUND(J281*INDEX('Product Summary'!$E$5:$E$24,MATCH(B281,'Product Summary'!$B$5:$B$24,0)),2)</f>
        <v>3692</v>
      </c>
      <c r="J281" s="6" t="n">
        <f aca="false">C281*H281</f>
        <v>14200</v>
      </c>
    </row>
    <row r="282" customFormat="false" ht="15" hidden="false" customHeight="false" outlineLevel="0" collapsed="false">
      <c r="A282" s="2" t="n">
        <v>281</v>
      </c>
      <c r="B282" s="3" t="s">
        <v>64</v>
      </c>
      <c r="C282" s="4" t="n">
        <v>12745</v>
      </c>
      <c r="D282" s="5" t="n">
        <v>46184</v>
      </c>
      <c r="E282" s="3" t="s">
        <v>106</v>
      </c>
      <c r="F282" s="2" t="str">
        <f aca="false">TEXT(D282,"mmmm")</f>
        <v>June</v>
      </c>
      <c r="G282" s="2" t="str">
        <f aca="false">INDEX('Product Summary'!$A$5:$A$24,MATCH(B282,'Product Summary'!$B$5:$B$24,0))</f>
        <v>PRD-1014</v>
      </c>
      <c r="H282" s="2" t="n">
        <v>3</v>
      </c>
      <c r="I282" s="6" t="n">
        <f aca="false">ROUND(J282*INDEX('Product Summary'!$E$5:$E$24,MATCH(B282,'Product Summary'!$B$5:$B$24,0)),2)</f>
        <v>6117.6</v>
      </c>
      <c r="J282" s="6" t="n">
        <f aca="false">C282*H282</f>
        <v>38235</v>
      </c>
    </row>
    <row r="283" customFormat="false" ht="15" hidden="false" customHeight="false" outlineLevel="0" collapsed="false">
      <c r="A283" s="2" t="n">
        <v>282</v>
      </c>
      <c r="B283" s="3" t="s">
        <v>37</v>
      </c>
      <c r="C283" s="4" t="n">
        <v>2930</v>
      </c>
      <c r="D283" s="5" t="n">
        <v>46185</v>
      </c>
      <c r="E283" s="3" t="s">
        <v>118</v>
      </c>
      <c r="F283" s="2" t="str">
        <f aca="false">TEXT(D283,"mmmm")</f>
        <v>June</v>
      </c>
      <c r="G283" s="2" t="str">
        <f aca="false">INDEX('Product Summary'!$A$5:$A$24,MATCH(B283,'Product Summary'!$B$5:$B$24,0))</f>
        <v>PRD-1007</v>
      </c>
      <c r="H283" s="2" t="n">
        <v>5</v>
      </c>
      <c r="I283" s="6" t="n">
        <f aca="false">ROUND(J283*INDEX('Product Summary'!$E$5:$E$24,MATCH(B283,'Product Summary'!$B$5:$B$24,0)),2)</f>
        <v>4248.5</v>
      </c>
      <c r="J283" s="6" t="n">
        <f aca="false">C283*H283</f>
        <v>14650</v>
      </c>
    </row>
    <row r="284" customFormat="false" ht="15" hidden="false" customHeight="false" outlineLevel="0" collapsed="false">
      <c r="A284" s="2" t="n">
        <v>283</v>
      </c>
      <c r="B284" s="3" t="s">
        <v>43</v>
      </c>
      <c r="C284" s="4" t="n">
        <v>11365</v>
      </c>
      <c r="D284" s="5" t="n">
        <v>46185</v>
      </c>
      <c r="E284" s="3" t="s">
        <v>68</v>
      </c>
      <c r="F284" s="2" t="str">
        <f aca="false">TEXT(D284,"mmmm")</f>
        <v>June</v>
      </c>
      <c r="G284" s="2" t="str">
        <f aca="false">INDEX('Product Summary'!$A$5:$A$24,MATCH(B284,'Product Summary'!$B$5:$B$24,0))</f>
        <v>PRD-1015</v>
      </c>
      <c r="H284" s="2" t="n">
        <v>3</v>
      </c>
      <c r="I284" s="6" t="n">
        <f aca="false">ROUND(J284*INDEX('Product Summary'!$E$5:$E$24,MATCH(B284,'Product Summary'!$B$5:$B$24,0)),2)</f>
        <v>6819</v>
      </c>
      <c r="J284" s="6" t="n">
        <f aca="false">C284*H284</f>
        <v>34095</v>
      </c>
    </row>
    <row r="285" customFormat="false" ht="15" hidden="false" customHeight="false" outlineLevel="0" collapsed="false">
      <c r="A285" s="2" t="n">
        <v>284</v>
      </c>
      <c r="B285" s="3" t="s">
        <v>104</v>
      </c>
      <c r="C285" s="4" t="n">
        <v>8360</v>
      </c>
      <c r="D285" s="5" t="n">
        <v>46186</v>
      </c>
      <c r="E285" s="3" t="s">
        <v>66</v>
      </c>
      <c r="F285" s="2" t="str">
        <f aca="false">TEXT(D285,"mmmm")</f>
        <v>June</v>
      </c>
      <c r="G285" s="2" t="str">
        <f aca="false">INDEX('Product Summary'!$A$5:$A$24,MATCH(B285,'Product Summary'!$B$5:$B$24,0))</f>
        <v>PRD-1012</v>
      </c>
      <c r="H285" s="2" t="n">
        <v>3</v>
      </c>
      <c r="I285" s="6" t="n">
        <f aca="false">ROUND(J285*INDEX('Product Summary'!$E$5:$E$24,MATCH(B285,'Product Summary'!$B$5:$B$24,0)),2)</f>
        <v>4514.4</v>
      </c>
      <c r="J285" s="6" t="n">
        <f aca="false">C285*H285</f>
        <v>25080</v>
      </c>
    </row>
    <row r="286" customFormat="false" ht="15" hidden="false" customHeight="false" outlineLevel="0" collapsed="false">
      <c r="A286" s="2" t="n">
        <v>285</v>
      </c>
      <c r="B286" s="3" t="s">
        <v>37</v>
      </c>
      <c r="C286" s="4" t="n">
        <v>3040</v>
      </c>
      <c r="D286" s="5" t="n">
        <v>46187</v>
      </c>
      <c r="E286" s="3" t="s">
        <v>114</v>
      </c>
      <c r="F286" s="2" t="str">
        <f aca="false">TEXT(D286,"mmmm")</f>
        <v>June</v>
      </c>
      <c r="G286" s="2" t="str">
        <f aca="false">INDEX('Product Summary'!$A$5:$A$24,MATCH(B286,'Product Summary'!$B$5:$B$24,0))</f>
        <v>PRD-1007</v>
      </c>
      <c r="H286" s="2" t="n">
        <v>3</v>
      </c>
      <c r="I286" s="6" t="n">
        <f aca="false">ROUND(J286*INDEX('Product Summary'!$E$5:$E$24,MATCH(B286,'Product Summary'!$B$5:$B$24,0)),2)</f>
        <v>2644.8</v>
      </c>
      <c r="J286" s="6" t="n">
        <f aca="false">C286*H286</f>
        <v>9120</v>
      </c>
    </row>
    <row r="287" customFormat="false" ht="15" hidden="false" customHeight="false" outlineLevel="0" collapsed="false">
      <c r="A287" s="2" t="n">
        <v>286</v>
      </c>
      <c r="B287" s="3" t="s">
        <v>60</v>
      </c>
      <c r="C287" s="4" t="n">
        <v>5980</v>
      </c>
      <c r="D287" s="5" t="n">
        <v>46187</v>
      </c>
      <c r="E287" s="3" t="s">
        <v>132</v>
      </c>
      <c r="F287" s="2" t="str">
        <f aca="false">TEXT(D287,"mmmm")</f>
        <v>June</v>
      </c>
      <c r="G287" s="2" t="str">
        <f aca="false">INDEX('Product Summary'!$A$5:$A$24,MATCH(B287,'Product Summary'!$B$5:$B$24,0))</f>
        <v>PRD-1009</v>
      </c>
      <c r="H287" s="2" t="n">
        <v>2</v>
      </c>
      <c r="I287" s="6" t="n">
        <f aca="false">ROUND(J287*INDEX('Product Summary'!$E$5:$E$24,MATCH(B287,'Product Summary'!$B$5:$B$24,0)),2)</f>
        <v>2631.2</v>
      </c>
      <c r="J287" s="6" t="n">
        <f aca="false">C287*H287</f>
        <v>11960</v>
      </c>
    </row>
    <row r="288" customFormat="false" ht="15" hidden="false" customHeight="false" outlineLevel="0" collapsed="false">
      <c r="A288" s="2" t="n">
        <v>287</v>
      </c>
      <c r="B288" s="3" t="s">
        <v>37</v>
      </c>
      <c r="C288" s="4" t="n">
        <v>2830</v>
      </c>
      <c r="D288" s="5" t="n">
        <v>46189</v>
      </c>
      <c r="E288" s="3" t="s">
        <v>82</v>
      </c>
      <c r="F288" s="2" t="str">
        <f aca="false">TEXT(D288,"mmmm")</f>
        <v>June</v>
      </c>
      <c r="G288" s="2" t="str">
        <f aca="false">INDEX('Product Summary'!$A$5:$A$24,MATCH(B288,'Product Summary'!$B$5:$B$24,0))</f>
        <v>PRD-1007</v>
      </c>
      <c r="H288" s="2" t="n">
        <v>3</v>
      </c>
      <c r="I288" s="6" t="n">
        <f aca="false">ROUND(J288*INDEX('Product Summary'!$E$5:$E$24,MATCH(B288,'Product Summary'!$B$5:$B$24,0)),2)</f>
        <v>2462.1</v>
      </c>
      <c r="J288" s="6" t="n">
        <f aca="false">C288*H288</f>
        <v>8490</v>
      </c>
    </row>
    <row r="289" customFormat="false" ht="15" hidden="false" customHeight="false" outlineLevel="0" collapsed="false">
      <c r="A289" s="2" t="n">
        <v>288</v>
      </c>
      <c r="B289" s="3" t="s">
        <v>34</v>
      </c>
      <c r="C289" s="4" t="n">
        <v>1940</v>
      </c>
      <c r="D289" s="5" t="n">
        <v>46190</v>
      </c>
      <c r="E289" s="3" t="s">
        <v>71</v>
      </c>
      <c r="F289" s="2" t="str">
        <f aca="false">TEXT(D289,"mmmm")</f>
        <v>June</v>
      </c>
      <c r="G289" s="2" t="str">
        <f aca="false">INDEX('Product Summary'!$A$5:$A$24,MATCH(B289,'Product Summary'!$B$5:$B$24,0))</f>
        <v>PRD-1006</v>
      </c>
      <c r="H289" s="2" t="n">
        <v>5</v>
      </c>
      <c r="I289" s="6" t="n">
        <f aca="false">ROUND(J289*INDEX('Product Summary'!$E$5:$E$24,MATCH(B289,'Product Summary'!$B$5:$B$24,0)),2)</f>
        <v>2619</v>
      </c>
      <c r="J289" s="6" t="n">
        <f aca="false">C289*H289</f>
        <v>9700</v>
      </c>
    </row>
    <row r="290" customFormat="false" ht="15" hidden="false" customHeight="false" outlineLevel="0" collapsed="false">
      <c r="A290" s="2" t="n">
        <v>289</v>
      </c>
      <c r="B290" s="3" t="s">
        <v>29</v>
      </c>
      <c r="C290" s="4" t="n">
        <v>9975</v>
      </c>
      <c r="D290" s="5" t="n">
        <v>46192</v>
      </c>
      <c r="E290" s="3" t="s">
        <v>23</v>
      </c>
      <c r="F290" s="2" t="str">
        <f aca="false">TEXT(D290,"mmmm")</f>
        <v>June</v>
      </c>
      <c r="G290" s="2" t="str">
        <f aca="false">INDEX('Product Summary'!$A$5:$A$24,MATCH(B290,'Product Summary'!$B$5:$B$24,0))</f>
        <v>PRD-1018</v>
      </c>
      <c r="H290" s="2" t="n">
        <v>1</v>
      </c>
      <c r="I290" s="6" t="n">
        <f aca="false">ROUND(J290*INDEX('Product Summary'!$E$5:$E$24,MATCH(B290,'Product Summary'!$B$5:$B$24,0)),2)</f>
        <v>2094.75</v>
      </c>
      <c r="J290" s="6" t="n">
        <f aca="false">C290*H290</f>
        <v>9975</v>
      </c>
    </row>
    <row r="291" customFormat="false" ht="15" hidden="false" customHeight="false" outlineLevel="0" collapsed="false">
      <c r="A291" s="2" t="n">
        <v>290</v>
      </c>
      <c r="B291" s="3" t="s">
        <v>52</v>
      </c>
      <c r="C291" s="4" t="n">
        <v>3565</v>
      </c>
      <c r="D291" s="5" t="n">
        <v>46193</v>
      </c>
      <c r="E291" s="3" t="s">
        <v>116</v>
      </c>
      <c r="F291" s="2" t="str">
        <f aca="false">TEXT(D291,"mmmm")</f>
        <v>June</v>
      </c>
      <c r="G291" s="2" t="str">
        <f aca="false">INDEX('Product Summary'!$A$5:$A$24,MATCH(B291,'Product Summary'!$B$5:$B$24,0))</f>
        <v>PRD-1002</v>
      </c>
      <c r="H291" s="2" t="n">
        <v>5</v>
      </c>
      <c r="I291" s="6" t="n">
        <f aca="false">ROUND(J291*INDEX('Product Summary'!$E$5:$E$24,MATCH(B291,'Product Summary'!$B$5:$B$24,0)),2)</f>
        <v>4991</v>
      </c>
      <c r="J291" s="6" t="n">
        <f aca="false">C291*H291</f>
        <v>17825</v>
      </c>
    </row>
    <row r="292" customFormat="false" ht="15" hidden="false" customHeight="false" outlineLevel="0" collapsed="false">
      <c r="A292" s="2" t="n">
        <v>291</v>
      </c>
      <c r="B292" s="3" t="s">
        <v>60</v>
      </c>
      <c r="C292" s="4" t="n">
        <v>6110</v>
      </c>
      <c r="D292" s="5" t="n">
        <v>46194</v>
      </c>
      <c r="E292" s="3" t="s">
        <v>55</v>
      </c>
      <c r="F292" s="2" t="str">
        <f aca="false">TEXT(D292,"mmmm")</f>
        <v>June</v>
      </c>
      <c r="G292" s="2" t="str">
        <f aca="false">INDEX('Product Summary'!$A$5:$A$24,MATCH(B292,'Product Summary'!$B$5:$B$24,0))</f>
        <v>PRD-1009</v>
      </c>
      <c r="H292" s="2" t="n">
        <v>2</v>
      </c>
      <c r="I292" s="6" t="n">
        <f aca="false">ROUND(J292*INDEX('Product Summary'!$E$5:$E$24,MATCH(B292,'Product Summary'!$B$5:$B$24,0)),2)</f>
        <v>2688.4</v>
      </c>
      <c r="J292" s="6" t="n">
        <f aca="false">C292*H292</f>
        <v>12220</v>
      </c>
    </row>
    <row r="293" customFormat="false" ht="15" hidden="false" customHeight="false" outlineLevel="0" collapsed="false">
      <c r="A293" s="2" t="n">
        <v>292</v>
      </c>
      <c r="B293" s="3" t="s">
        <v>18</v>
      </c>
      <c r="C293" s="4" t="n">
        <v>1755</v>
      </c>
      <c r="D293" s="5" t="n">
        <v>46195</v>
      </c>
      <c r="E293" s="3" t="s">
        <v>70</v>
      </c>
      <c r="F293" s="2" t="str">
        <f aca="false">TEXT(D293,"mmmm")</f>
        <v>June</v>
      </c>
      <c r="G293" s="2" t="str">
        <f aca="false">INDEX('Product Summary'!$A$5:$A$24,MATCH(B293,'Product Summary'!$B$5:$B$24,0))</f>
        <v>PRD-1003</v>
      </c>
      <c r="H293" s="2" t="n">
        <v>6</v>
      </c>
      <c r="I293" s="6" t="n">
        <f aca="false">ROUND(J293*INDEX('Product Summary'!$E$5:$E$24,MATCH(B293,'Product Summary'!$B$5:$B$24,0)),2)</f>
        <v>3685.5</v>
      </c>
      <c r="J293" s="6" t="n">
        <f aca="false">C293*H293</f>
        <v>10530</v>
      </c>
    </row>
    <row r="294" customFormat="false" ht="15" hidden="false" customHeight="false" outlineLevel="0" collapsed="false">
      <c r="A294" s="2" t="n">
        <v>293</v>
      </c>
      <c r="B294" s="3" t="s">
        <v>52</v>
      </c>
      <c r="C294" s="4" t="n">
        <v>3570</v>
      </c>
      <c r="D294" s="5" t="n">
        <v>46195</v>
      </c>
      <c r="E294" s="3" t="s">
        <v>109</v>
      </c>
      <c r="F294" s="2" t="str">
        <f aca="false">TEXT(D294,"mmmm")</f>
        <v>June</v>
      </c>
      <c r="G294" s="2" t="str">
        <f aca="false">INDEX('Product Summary'!$A$5:$A$24,MATCH(B294,'Product Summary'!$B$5:$B$24,0))</f>
        <v>PRD-1002</v>
      </c>
      <c r="H294" s="2" t="n">
        <v>2</v>
      </c>
      <c r="I294" s="6" t="n">
        <f aca="false">ROUND(J294*INDEX('Product Summary'!$E$5:$E$24,MATCH(B294,'Product Summary'!$B$5:$B$24,0)),2)</f>
        <v>1999.2</v>
      </c>
      <c r="J294" s="6" t="n">
        <f aca="false">C294*H294</f>
        <v>7140</v>
      </c>
    </row>
    <row r="295" customFormat="false" ht="15" hidden="false" customHeight="false" outlineLevel="0" collapsed="false">
      <c r="A295" s="2" t="n">
        <v>294</v>
      </c>
      <c r="B295" s="3" t="s">
        <v>48</v>
      </c>
      <c r="C295" s="4" t="n">
        <v>3760</v>
      </c>
      <c r="D295" s="5" t="n">
        <v>46196</v>
      </c>
      <c r="E295" s="3" t="s">
        <v>46</v>
      </c>
      <c r="F295" s="2" t="str">
        <f aca="false">TEXT(D295,"mmmm")</f>
        <v>June</v>
      </c>
      <c r="G295" s="2" t="str">
        <f aca="false">INDEX('Product Summary'!$A$5:$A$24,MATCH(B295,'Product Summary'!$B$5:$B$24,0))</f>
        <v>PRD-1013</v>
      </c>
      <c r="H295" s="2" t="n">
        <v>3</v>
      </c>
      <c r="I295" s="6" t="n">
        <f aca="false">ROUND(J295*INDEX('Product Summary'!$E$5:$E$24,MATCH(B295,'Product Summary'!$B$5:$B$24,0)),2)</f>
        <v>2707.2</v>
      </c>
      <c r="J295" s="6" t="n">
        <f aca="false">C295*H295</f>
        <v>11280</v>
      </c>
    </row>
    <row r="296" customFormat="false" ht="15" hidden="false" customHeight="false" outlineLevel="0" collapsed="false">
      <c r="A296" s="2" t="n">
        <v>295</v>
      </c>
      <c r="B296" s="3" t="s">
        <v>34</v>
      </c>
      <c r="C296" s="4" t="n">
        <v>1935</v>
      </c>
      <c r="D296" s="5" t="n">
        <v>46197</v>
      </c>
      <c r="E296" s="3" t="s">
        <v>73</v>
      </c>
      <c r="F296" s="2" t="str">
        <f aca="false">TEXT(D296,"mmmm")</f>
        <v>June</v>
      </c>
      <c r="G296" s="2" t="str">
        <f aca="false">INDEX('Product Summary'!$A$5:$A$24,MATCH(B296,'Product Summary'!$B$5:$B$24,0))</f>
        <v>PRD-1006</v>
      </c>
      <c r="H296" s="2" t="n">
        <v>7</v>
      </c>
      <c r="I296" s="6" t="n">
        <f aca="false">ROUND(J296*INDEX('Product Summary'!$E$5:$E$24,MATCH(B296,'Product Summary'!$B$5:$B$24,0)),2)</f>
        <v>3657.15</v>
      </c>
      <c r="J296" s="6" t="n">
        <f aca="false">C296*H296</f>
        <v>13545</v>
      </c>
    </row>
    <row r="297" customFormat="false" ht="15" hidden="false" customHeight="false" outlineLevel="0" collapsed="false">
      <c r="A297" s="2" t="n">
        <v>296</v>
      </c>
      <c r="B297" s="3" t="s">
        <v>14</v>
      </c>
      <c r="C297" s="4" t="n">
        <v>2790</v>
      </c>
      <c r="D297" s="5" t="n">
        <v>46197</v>
      </c>
      <c r="E297" s="3" t="s">
        <v>54</v>
      </c>
      <c r="F297" s="2" t="str">
        <f aca="false">TEXT(D297,"mmmm")</f>
        <v>June</v>
      </c>
      <c r="G297" s="2" t="str">
        <f aca="false">INDEX('Product Summary'!$A$5:$A$24,MATCH(B297,'Product Summary'!$B$5:$B$24,0))</f>
        <v>PRD-1005</v>
      </c>
      <c r="H297" s="2" t="n">
        <v>5</v>
      </c>
      <c r="I297" s="6" t="n">
        <f aca="false">ROUND(J297*INDEX('Product Summary'!$E$5:$E$24,MATCH(B297,'Product Summary'!$B$5:$B$24,0)),2)</f>
        <v>3627</v>
      </c>
      <c r="J297" s="6" t="n">
        <f aca="false">C297*H297</f>
        <v>13950</v>
      </c>
    </row>
    <row r="298" customFormat="false" ht="15" hidden="false" customHeight="false" outlineLevel="0" collapsed="false">
      <c r="A298" s="2" t="n">
        <v>297</v>
      </c>
      <c r="B298" s="3" t="s">
        <v>34</v>
      </c>
      <c r="C298" s="4" t="n">
        <v>2025</v>
      </c>
      <c r="D298" s="5" t="n">
        <v>46198</v>
      </c>
      <c r="E298" s="3" t="s">
        <v>133</v>
      </c>
      <c r="F298" s="2" t="str">
        <f aca="false">TEXT(D298,"mmmm")</f>
        <v>June</v>
      </c>
      <c r="G298" s="2" t="str">
        <f aca="false">INDEX('Product Summary'!$A$5:$A$24,MATCH(B298,'Product Summary'!$B$5:$B$24,0))</f>
        <v>PRD-1006</v>
      </c>
      <c r="H298" s="2" t="n">
        <v>8</v>
      </c>
      <c r="I298" s="6" t="n">
        <f aca="false">ROUND(J298*INDEX('Product Summary'!$E$5:$E$24,MATCH(B298,'Product Summary'!$B$5:$B$24,0)),2)</f>
        <v>4374</v>
      </c>
      <c r="J298" s="6" t="n">
        <f aca="false">C298*H298</f>
        <v>16200</v>
      </c>
    </row>
    <row r="299" customFormat="false" ht="15" hidden="false" customHeight="false" outlineLevel="0" collapsed="false">
      <c r="A299" s="2" t="n">
        <v>298</v>
      </c>
      <c r="B299" s="3" t="s">
        <v>18</v>
      </c>
      <c r="C299" s="4" t="n">
        <v>1670</v>
      </c>
      <c r="D299" s="5" t="n">
        <v>46199</v>
      </c>
      <c r="E299" s="3" t="s">
        <v>114</v>
      </c>
      <c r="F299" s="2" t="str">
        <f aca="false">TEXT(D299,"mmmm")</f>
        <v>June</v>
      </c>
      <c r="G299" s="2" t="str">
        <f aca="false">INDEX('Product Summary'!$A$5:$A$24,MATCH(B299,'Product Summary'!$B$5:$B$24,0))</f>
        <v>PRD-1003</v>
      </c>
      <c r="H299" s="2" t="n">
        <v>8</v>
      </c>
      <c r="I299" s="6" t="n">
        <f aca="false">ROUND(J299*INDEX('Product Summary'!$E$5:$E$24,MATCH(B299,'Product Summary'!$B$5:$B$24,0)),2)</f>
        <v>4676</v>
      </c>
      <c r="J299" s="6" t="n">
        <f aca="false">C299*H299</f>
        <v>13360</v>
      </c>
    </row>
    <row r="300" customFormat="false" ht="15" hidden="false" customHeight="false" outlineLevel="0" collapsed="false">
      <c r="A300" s="2" t="n">
        <v>299</v>
      </c>
      <c r="B300" s="3" t="s">
        <v>45</v>
      </c>
      <c r="C300" s="4" t="n">
        <v>2465</v>
      </c>
      <c r="D300" s="5" t="n">
        <v>46199</v>
      </c>
      <c r="E300" s="3" t="s">
        <v>62</v>
      </c>
      <c r="F300" s="2" t="str">
        <f aca="false">TEXT(D300,"mmmm")</f>
        <v>June</v>
      </c>
      <c r="G300" s="2" t="str">
        <f aca="false">INDEX('Product Summary'!$A$5:$A$24,MATCH(B300,'Product Summary'!$B$5:$B$24,0))</f>
        <v>PRD-1010</v>
      </c>
      <c r="H300" s="2" t="n">
        <v>4</v>
      </c>
      <c r="I300" s="6" t="n">
        <f aca="false">ROUND(J300*INDEX('Product Summary'!$E$5:$E$24,MATCH(B300,'Product Summary'!$B$5:$B$24,0)),2)</f>
        <v>2465</v>
      </c>
      <c r="J300" s="6" t="n">
        <f aca="false">C300*H300</f>
        <v>9860</v>
      </c>
    </row>
    <row r="301" customFormat="false" ht="15" hidden="false" customHeight="false" outlineLevel="0" collapsed="false">
      <c r="A301" s="2" t="n">
        <v>300</v>
      </c>
      <c r="B301" s="3" t="s">
        <v>34</v>
      </c>
      <c r="C301" s="4" t="n">
        <v>2015</v>
      </c>
      <c r="D301" s="5" t="n">
        <v>46199</v>
      </c>
      <c r="E301" s="3" t="s">
        <v>79</v>
      </c>
      <c r="F301" s="2" t="str">
        <f aca="false">TEXT(D301,"mmmm")</f>
        <v>June</v>
      </c>
      <c r="G301" s="2" t="str">
        <f aca="false">INDEX('Product Summary'!$A$5:$A$24,MATCH(B301,'Product Summary'!$B$5:$B$24,0))</f>
        <v>PRD-1006</v>
      </c>
      <c r="H301" s="2" t="n">
        <v>7</v>
      </c>
      <c r="I301" s="6" t="n">
        <f aca="false">ROUND(J301*INDEX('Product Summary'!$E$5:$E$24,MATCH(B301,'Product Summary'!$B$5:$B$24,0)),2)</f>
        <v>3808.35</v>
      </c>
      <c r="J301" s="6" t="n">
        <f aca="false">C301*H301</f>
        <v>14105</v>
      </c>
    </row>
    <row r="302" customFormat="false" ht="15" hidden="false" customHeight="false" outlineLevel="0" collapsed="false">
      <c r="A302" s="2" t="n">
        <v>301</v>
      </c>
      <c r="B302" s="3" t="s">
        <v>12</v>
      </c>
      <c r="C302" s="4" t="n">
        <v>770</v>
      </c>
      <c r="D302" s="5" t="n">
        <v>46199</v>
      </c>
      <c r="E302" s="3" t="s">
        <v>108</v>
      </c>
      <c r="F302" s="2" t="str">
        <f aca="false">TEXT(D302,"mmmm")</f>
        <v>June</v>
      </c>
      <c r="G302" s="2" t="str">
        <f aca="false">INDEX('Product Summary'!$A$5:$A$24,MATCH(B302,'Product Summary'!$B$5:$B$24,0))</f>
        <v>PRD-1001</v>
      </c>
      <c r="H302" s="2" t="n">
        <v>2</v>
      </c>
      <c r="I302" s="6" t="n">
        <f aca="false">ROUND(J302*INDEX('Product Summary'!$E$5:$E$24,MATCH(B302,'Product Summary'!$B$5:$B$24,0)),2)</f>
        <v>492.8</v>
      </c>
      <c r="J302" s="6" t="n">
        <f aca="false">C302*H302</f>
        <v>1540</v>
      </c>
    </row>
    <row r="303" customFormat="false" ht="15" hidden="false" customHeight="false" outlineLevel="0" collapsed="false">
      <c r="A303" s="2" t="n">
        <v>302</v>
      </c>
      <c r="B303" s="3" t="s">
        <v>18</v>
      </c>
      <c r="C303" s="4" t="n">
        <v>1830</v>
      </c>
      <c r="D303" s="5" t="n">
        <v>46199</v>
      </c>
      <c r="E303" s="3" t="s">
        <v>112</v>
      </c>
      <c r="F303" s="2" t="str">
        <f aca="false">TEXT(D303,"mmmm")</f>
        <v>June</v>
      </c>
      <c r="G303" s="2" t="str">
        <f aca="false">INDEX('Product Summary'!$A$5:$A$24,MATCH(B303,'Product Summary'!$B$5:$B$24,0))</f>
        <v>PRD-1003</v>
      </c>
      <c r="H303" s="2" t="n">
        <v>2</v>
      </c>
      <c r="I303" s="6" t="n">
        <f aca="false">ROUND(J303*INDEX('Product Summary'!$E$5:$E$24,MATCH(B303,'Product Summary'!$B$5:$B$24,0)),2)</f>
        <v>1281</v>
      </c>
      <c r="J303" s="6" t="n">
        <f aca="false">C303*H303</f>
        <v>3660</v>
      </c>
    </row>
    <row r="304" customFormat="false" ht="15" hidden="false" customHeight="false" outlineLevel="0" collapsed="false">
      <c r="A304" s="2" t="n">
        <v>303</v>
      </c>
      <c r="B304" s="3" t="s">
        <v>37</v>
      </c>
      <c r="C304" s="4" t="n">
        <v>3040</v>
      </c>
      <c r="D304" s="5" t="n">
        <v>46200</v>
      </c>
      <c r="E304" s="3" t="s">
        <v>82</v>
      </c>
      <c r="F304" s="2" t="str">
        <f aca="false">TEXT(D304,"mmmm")</f>
        <v>June</v>
      </c>
      <c r="G304" s="2" t="str">
        <f aca="false">INDEX('Product Summary'!$A$5:$A$24,MATCH(B304,'Product Summary'!$B$5:$B$24,0))</f>
        <v>PRD-1007</v>
      </c>
      <c r="H304" s="2" t="n">
        <v>1</v>
      </c>
      <c r="I304" s="6" t="n">
        <f aca="false">ROUND(J304*INDEX('Product Summary'!$E$5:$E$24,MATCH(B304,'Product Summary'!$B$5:$B$24,0)),2)</f>
        <v>881.6</v>
      </c>
      <c r="J304" s="6" t="n">
        <f aca="false">C304*H304</f>
        <v>3040</v>
      </c>
    </row>
    <row r="305" customFormat="false" ht="15" hidden="false" customHeight="false" outlineLevel="0" collapsed="false">
      <c r="A305" s="2" t="n">
        <v>304</v>
      </c>
      <c r="B305" s="3" t="s">
        <v>22</v>
      </c>
      <c r="C305" s="4" t="n">
        <v>7810</v>
      </c>
      <c r="D305" s="5" t="n">
        <v>46200</v>
      </c>
      <c r="E305" s="3" t="s">
        <v>32</v>
      </c>
      <c r="F305" s="2" t="str">
        <f aca="false">TEXT(D305,"mmmm")</f>
        <v>June</v>
      </c>
      <c r="G305" s="2" t="str">
        <f aca="false">INDEX('Product Summary'!$A$5:$A$24,MATCH(B305,'Product Summary'!$B$5:$B$24,0))</f>
        <v>PRD-1008</v>
      </c>
      <c r="H305" s="2" t="n">
        <v>3</v>
      </c>
      <c r="I305" s="6" t="n">
        <f aca="false">ROUND(J305*INDEX('Product Summary'!$E$5:$E$24,MATCH(B305,'Product Summary'!$B$5:$B$24,0)),2)</f>
        <v>5623.2</v>
      </c>
      <c r="J305" s="6" t="n">
        <f aca="false">C305*H305</f>
        <v>23430</v>
      </c>
    </row>
    <row r="306" customFormat="false" ht="15" hidden="false" customHeight="false" outlineLevel="0" collapsed="false">
      <c r="A306" s="2" t="n">
        <v>305</v>
      </c>
      <c r="B306" s="3" t="s">
        <v>52</v>
      </c>
      <c r="C306" s="4" t="n">
        <v>3380</v>
      </c>
      <c r="D306" s="5" t="n">
        <v>46200</v>
      </c>
      <c r="E306" s="3" t="s">
        <v>16</v>
      </c>
      <c r="F306" s="2" t="str">
        <f aca="false">TEXT(D306,"mmmm")</f>
        <v>June</v>
      </c>
      <c r="G306" s="2" t="str">
        <f aca="false">INDEX('Product Summary'!$A$5:$A$24,MATCH(B306,'Product Summary'!$B$5:$B$24,0))</f>
        <v>PRD-1002</v>
      </c>
      <c r="H306" s="2" t="n">
        <v>4</v>
      </c>
      <c r="I306" s="6" t="n">
        <f aca="false">ROUND(J306*INDEX('Product Summary'!$E$5:$E$24,MATCH(B306,'Product Summary'!$B$5:$B$24,0)),2)</f>
        <v>3785.6</v>
      </c>
      <c r="J306" s="6" t="n">
        <f aca="false">C306*H306</f>
        <v>13520</v>
      </c>
    </row>
    <row r="307" customFormat="false" ht="15" hidden="false" customHeight="false" outlineLevel="0" collapsed="false">
      <c r="A307" s="2" t="n">
        <v>306</v>
      </c>
      <c r="B307" s="3" t="s">
        <v>52</v>
      </c>
      <c r="C307" s="4" t="n">
        <v>3360</v>
      </c>
      <c r="D307" s="5" t="n">
        <v>46201</v>
      </c>
      <c r="E307" s="3" t="s">
        <v>87</v>
      </c>
      <c r="F307" s="2" t="str">
        <f aca="false">TEXT(D307,"mmmm")</f>
        <v>June</v>
      </c>
      <c r="G307" s="2" t="str">
        <f aca="false">INDEX('Product Summary'!$A$5:$A$24,MATCH(B307,'Product Summary'!$B$5:$B$24,0))</f>
        <v>PRD-1002</v>
      </c>
      <c r="H307" s="2" t="n">
        <v>4</v>
      </c>
      <c r="I307" s="6" t="n">
        <f aca="false">ROUND(J307*INDEX('Product Summary'!$E$5:$E$24,MATCH(B307,'Product Summary'!$B$5:$B$24,0)),2)</f>
        <v>3763.2</v>
      </c>
      <c r="J307" s="6" t="n">
        <f aca="false">C307*H307</f>
        <v>13440</v>
      </c>
    </row>
    <row r="308" customFormat="false" ht="15" hidden="false" customHeight="false" outlineLevel="0" collapsed="false">
      <c r="A308" s="2" t="n">
        <v>307</v>
      </c>
      <c r="B308" s="3" t="s">
        <v>42</v>
      </c>
      <c r="C308" s="4" t="n">
        <v>1260</v>
      </c>
      <c r="D308" s="5" t="n">
        <v>46202</v>
      </c>
      <c r="E308" s="3" t="s">
        <v>123</v>
      </c>
      <c r="F308" s="2" t="str">
        <f aca="false">TEXT(D308,"mmmm")</f>
        <v>June</v>
      </c>
      <c r="G308" s="2" t="str">
        <f aca="false">INDEX('Product Summary'!$A$5:$A$24,MATCH(B308,'Product Summary'!$B$5:$B$24,0))</f>
        <v>PRD-1017</v>
      </c>
      <c r="H308" s="2" t="n">
        <v>6</v>
      </c>
      <c r="I308" s="6" t="n">
        <f aca="false">ROUND(J308*INDEX('Product Summary'!$E$5:$E$24,MATCH(B308,'Product Summary'!$B$5:$B$24,0)),2)</f>
        <v>2872.8</v>
      </c>
      <c r="J308" s="6" t="n">
        <f aca="false">C308*H308</f>
        <v>7560</v>
      </c>
    </row>
    <row r="309" customFormat="false" ht="15" hidden="false" customHeight="false" outlineLevel="0" collapsed="false">
      <c r="A309" s="2" t="n">
        <v>308</v>
      </c>
      <c r="B309" s="3" t="s">
        <v>14</v>
      </c>
      <c r="C309" s="4" t="n">
        <v>2885</v>
      </c>
      <c r="D309" s="5" t="n">
        <v>46202</v>
      </c>
      <c r="E309" s="3" t="s">
        <v>89</v>
      </c>
      <c r="F309" s="2" t="str">
        <f aca="false">TEXT(D309,"mmmm")</f>
        <v>June</v>
      </c>
      <c r="G309" s="2" t="str">
        <f aca="false">INDEX('Product Summary'!$A$5:$A$24,MATCH(B309,'Product Summary'!$B$5:$B$24,0))</f>
        <v>PRD-1005</v>
      </c>
      <c r="H309" s="2" t="n">
        <v>5</v>
      </c>
      <c r="I309" s="6" t="n">
        <f aca="false">ROUND(J309*INDEX('Product Summary'!$E$5:$E$24,MATCH(B309,'Product Summary'!$B$5:$B$24,0)),2)</f>
        <v>3750.5</v>
      </c>
      <c r="J309" s="6" t="n">
        <f aca="false">C309*H309</f>
        <v>14425</v>
      </c>
    </row>
    <row r="310" customFormat="false" ht="15" hidden="false" customHeight="false" outlineLevel="0" collapsed="false">
      <c r="A310" s="2" t="n">
        <v>309</v>
      </c>
      <c r="B310" s="3" t="s">
        <v>104</v>
      </c>
      <c r="C310" s="4" t="n">
        <v>8300</v>
      </c>
      <c r="D310" s="5" t="n">
        <v>46203</v>
      </c>
      <c r="E310" s="3" t="s">
        <v>112</v>
      </c>
      <c r="F310" s="2" t="str">
        <f aca="false">TEXT(D310,"mmmm")</f>
        <v>June</v>
      </c>
      <c r="G310" s="2" t="str">
        <f aca="false">INDEX('Product Summary'!$A$5:$A$24,MATCH(B310,'Product Summary'!$B$5:$B$24,0))</f>
        <v>PRD-1012</v>
      </c>
      <c r="H310" s="2" t="n">
        <v>3</v>
      </c>
      <c r="I310" s="6" t="n">
        <f aca="false">ROUND(J310*INDEX('Product Summary'!$E$5:$E$24,MATCH(B310,'Product Summary'!$B$5:$B$24,0)),2)</f>
        <v>4482</v>
      </c>
      <c r="J310" s="6" t="n">
        <f aca="false">C310*H310</f>
        <v>24900</v>
      </c>
    </row>
    <row r="311" customFormat="false" ht="15" hidden="false" customHeight="false" outlineLevel="0" collapsed="false">
      <c r="A311" s="2" t="n">
        <v>310</v>
      </c>
      <c r="B311" s="3" t="s">
        <v>31</v>
      </c>
      <c r="C311" s="4" t="n">
        <v>25280</v>
      </c>
      <c r="D311" s="5" t="n">
        <v>46203</v>
      </c>
      <c r="E311" s="3" t="s">
        <v>40</v>
      </c>
      <c r="F311" s="2" t="str">
        <f aca="false">TEXT(D311,"mmmm")</f>
        <v>June</v>
      </c>
      <c r="G311" s="2" t="str">
        <f aca="false">INDEX('Product Summary'!$A$5:$A$24,MATCH(B311,'Product Summary'!$B$5:$B$24,0))</f>
        <v>PRD-1020</v>
      </c>
      <c r="H311" s="2" t="n">
        <v>3</v>
      </c>
      <c r="I311" s="6" t="n">
        <f aca="false">ROUND(J311*INDEX('Product Summary'!$E$5:$E$24,MATCH(B311,'Product Summary'!$B$5:$B$24,0)),2)</f>
        <v>7584</v>
      </c>
      <c r="J311" s="6" t="n">
        <f aca="false">C311*H311</f>
        <v>75840</v>
      </c>
    </row>
    <row r="312" customFormat="false" ht="15" hidden="false" customHeight="false" outlineLevel="0" collapsed="false">
      <c r="A312" s="2" t="n">
        <v>311</v>
      </c>
      <c r="B312" s="3" t="s">
        <v>29</v>
      </c>
      <c r="C312" s="4" t="n">
        <v>9445</v>
      </c>
      <c r="D312" s="5" t="n">
        <v>46204</v>
      </c>
      <c r="E312" s="3" t="s">
        <v>98</v>
      </c>
      <c r="F312" s="2" t="str">
        <f aca="false">TEXT(D312,"mmmm")</f>
        <v>July</v>
      </c>
      <c r="G312" s="2" t="str">
        <f aca="false">INDEX('Product Summary'!$A$5:$A$24,MATCH(B312,'Product Summary'!$B$5:$B$24,0))</f>
        <v>PRD-1018</v>
      </c>
      <c r="H312" s="2" t="n">
        <v>1</v>
      </c>
      <c r="I312" s="6" t="n">
        <f aca="false">ROUND(J312*INDEX('Product Summary'!$E$5:$E$24,MATCH(B312,'Product Summary'!$B$5:$B$24,0)),2)</f>
        <v>1983.45</v>
      </c>
      <c r="J312" s="6" t="n">
        <f aca="false">C312*H312</f>
        <v>9445</v>
      </c>
    </row>
    <row r="313" customFormat="false" ht="15" hidden="false" customHeight="false" outlineLevel="0" collapsed="false">
      <c r="A313" s="2" t="n">
        <v>312</v>
      </c>
      <c r="B313" s="3" t="s">
        <v>34</v>
      </c>
      <c r="C313" s="4" t="n">
        <v>1945</v>
      </c>
      <c r="D313" s="5" t="n">
        <v>46204</v>
      </c>
      <c r="E313" s="3" t="s">
        <v>115</v>
      </c>
      <c r="F313" s="2" t="str">
        <f aca="false">TEXT(D313,"mmmm")</f>
        <v>July</v>
      </c>
      <c r="G313" s="2" t="str">
        <f aca="false">INDEX('Product Summary'!$A$5:$A$24,MATCH(B313,'Product Summary'!$B$5:$B$24,0))</f>
        <v>PRD-1006</v>
      </c>
      <c r="H313" s="2" t="n">
        <v>3</v>
      </c>
      <c r="I313" s="6" t="n">
        <f aca="false">ROUND(J313*INDEX('Product Summary'!$E$5:$E$24,MATCH(B313,'Product Summary'!$B$5:$B$24,0)),2)</f>
        <v>1575.45</v>
      </c>
      <c r="J313" s="6" t="n">
        <f aca="false">C313*H313</f>
        <v>5835</v>
      </c>
    </row>
    <row r="314" customFormat="false" ht="15" hidden="false" customHeight="false" outlineLevel="0" collapsed="false">
      <c r="A314" s="2" t="n">
        <v>313</v>
      </c>
      <c r="B314" s="3" t="s">
        <v>34</v>
      </c>
      <c r="C314" s="4" t="n">
        <v>2000</v>
      </c>
      <c r="D314" s="5" t="n">
        <v>46204</v>
      </c>
      <c r="E314" s="3" t="s">
        <v>119</v>
      </c>
      <c r="F314" s="2" t="str">
        <f aca="false">TEXT(D314,"mmmm")</f>
        <v>July</v>
      </c>
      <c r="G314" s="2" t="str">
        <f aca="false">INDEX('Product Summary'!$A$5:$A$24,MATCH(B314,'Product Summary'!$B$5:$B$24,0))</f>
        <v>PRD-1006</v>
      </c>
      <c r="H314" s="2" t="n">
        <v>8</v>
      </c>
      <c r="I314" s="6" t="n">
        <f aca="false">ROUND(J314*INDEX('Product Summary'!$E$5:$E$24,MATCH(B314,'Product Summary'!$B$5:$B$24,0)),2)</f>
        <v>4320</v>
      </c>
      <c r="J314" s="6" t="n">
        <f aca="false">C314*H314</f>
        <v>16000</v>
      </c>
    </row>
    <row r="315" customFormat="false" ht="15" hidden="false" customHeight="false" outlineLevel="0" collapsed="false">
      <c r="A315" s="2" t="n">
        <v>314</v>
      </c>
      <c r="B315" s="3" t="s">
        <v>29</v>
      </c>
      <c r="C315" s="4" t="n">
        <v>9705</v>
      </c>
      <c r="D315" s="5" t="n">
        <v>46205</v>
      </c>
      <c r="E315" s="3" t="s">
        <v>17</v>
      </c>
      <c r="F315" s="2" t="str">
        <f aca="false">TEXT(D315,"mmmm")</f>
        <v>July</v>
      </c>
      <c r="G315" s="2" t="str">
        <f aca="false">INDEX('Product Summary'!$A$5:$A$24,MATCH(B315,'Product Summary'!$B$5:$B$24,0))</f>
        <v>PRD-1018</v>
      </c>
      <c r="H315" s="2" t="n">
        <v>2</v>
      </c>
      <c r="I315" s="6" t="n">
        <f aca="false">ROUND(J315*INDEX('Product Summary'!$E$5:$E$24,MATCH(B315,'Product Summary'!$B$5:$B$24,0)),2)</f>
        <v>4076.1</v>
      </c>
      <c r="J315" s="6" t="n">
        <f aca="false">C315*H315</f>
        <v>19410</v>
      </c>
    </row>
    <row r="316" customFormat="false" ht="15" hidden="false" customHeight="false" outlineLevel="0" collapsed="false">
      <c r="A316" s="2" t="n">
        <v>315</v>
      </c>
      <c r="B316" s="3" t="s">
        <v>18</v>
      </c>
      <c r="C316" s="4" t="n">
        <v>1850</v>
      </c>
      <c r="D316" s="5" t="n">
        <v>46205</v>
      </c>
      <c r="E316" s="3" t="s">
        <v>130</v>
      </c>
      <c r="F316" s="2" t="str">
        <f aca="false">TEXT(D316,"mmmm")</f>
        <v>July</v>
      </c>
      <c r="G316" s="2" t="str">
        <f aca="false">INDEX('Product Summary'!$A$5:$A$24,MATCH(B316,'Product Summary'!$B$5:$B$24,0))</f>
        <v>PRD-1003</v>
      </c>
      <c r="H316" s="2" t="n">
        <v>3</v>
      </c>
      <c r="I316" s="6" t="n">
        <f aca="false">ROUND(J316*INDEX('Product Summary'!$E$5:$E$24,MATCH(B316,'Product Summary'!$B$5:$B$24,0)),2)</f>
        <v>1942.5</v>
      </c>
      <c r="J316" s="6" t="n">
        <f aca="false">C316*H316</f>
        <v>5550</v>
      </c>
    </row>
    <row r="317" customFormat="false" ht="15" hidden="false" customHeight="false" outlineLevel="0" collapsed="false">
      <c r="A317" s="2" t="n">
        <v>316</v>
      </c>
      <c r="B317" s="3" t="s">
        <v>45</v>
      </c>
      <c r="C317" s="4" t="n">
        <v>2445</v>
      </c>
      <c r="D317" s="5" t="n">
        <v>46205</v>
      </c>
      <c r="E317" s="3" t="s">
        <v>76</v>
      </c>
      <c r="F317" s="2" t="str">
        <f aca="false">TEXT(D317,"mmmm")</f>
        <v>July</v>
      </c>
      <c r="G317" s="2" t="str">
        <f aca="false">INDEX('Product Summary'!$A$5:$A$24,MATCH(B317,'Product Summary'!$B$5:$B$24,0))</f>
        <v>PRD-1010</v>
      </c>
      <c r="H317" s="2" t="n">
        <v>6</v>
      </c>
      <c r="I317" s="6" t="n">
        <f aca="false">ROUND(J317*INDEX('Product Summary'!$E$5:$E$24,MATCH(B317,'Product Summary'!$B$5:$B$24,0)),2)</f>
        <v>3667.5</v>
      </c>
      <c r="J317" s="6" t="n">
        <f aca="false">C317*H317</f>
        <v>14670</v>
      </c>
    </row>
    <row r="318" customFormat="false" ht="15" hidden="false" customHeight="false" outlineLevel="0" collapsed="false">
      <c r="A318" s="2" t="n">
        <v>317</v>
      </c>
      <c r="B318" s="3" t="s">
        <v>60</v>
      </c>
      <c r="C318" s="4" t="n">
        <v>5565</v>
      </c>
      <c r="D318" s="5" t="n">
        <v>46206</v>
      </c>
      <c r="E318" s="3" t="s">
        <v>120</v>
      </c>
      <c r="F318" s="2" t="str">
        <f aca="false">TEXT(D318,"mmmm")</f>
        <v>July</v>
      </c>
      <c r="G318" s="2" t="str">
        <f aca="false">INDEX('Product Summary'!$A$5:$A$24,MATCH(B318,'Product Summary'!$B$5:$B$24,0))</f>
        <v>PRD-1009</v>
      </c>
      <c r="H318" s="2" t="n">
        <v>1</v>
      </c>
      <c r="I318" s="6" t="n">
        <f aca="false">ROUND(J318*INDEX('Product Summary'!$E$5:$E$24,MATCH(B318,'Product Summary'!$B$5:$B$24,0)),2)</f>
        <v>1224.3</v>
      </c>
      <c r="J318" s="6" t="n">
        <f aca="false">C318*H318</f>
        <v>5565</v>
      </c>
    </row>
    <row r="319" customFormat="false" ht="15" hidden="false" customHeight="false" outlineLevel="0" collapsed="false">
      <c r="A319" s="2" t="n">
        <v>318</v>
      </c>
      <c r="B319" s="3" t="s">
        <v>43</v>
      </c>
      <c r="C319" s="4" t="n">
        <v>11575</v>
      </c>
      <c r="D319" s="5" t="n">
        <v>46207</v>
      </c>
      <c r="E319" s="3" t="s">
        <v>24</v>
      </c>
      <c r="F319" s="2" t="str">
        <f aca="false">TEXT(D319,"mmmm")</f>
        <v>July</v>
      </c>
      <c r="G319" s="2" t="str">
        <f aca="false">INDEX('Product Summary'!$A$5:$A$24,MATCH(B319,'Product Summary'!$B$5:$B$24,0))</f>
        <v>PRD-1015</v>
      </c>
      <c r="H319" s="2" t="n">
        <v>3</v>
      </c>
      <c r="I319" s="6" t="n">
        <f aca="false">ROUND(J319*INDEX('Product Summary'!$E$5:$E$24,MATCH(B319,'Product Summary'!$B$5:$B$24,0)),2)</f>
        <v>6945</v>
      </c>
      <c r="J319" s="6" t="n">
        <f aca="false">C319*H319</f>
        <v>34725</v>
      </c>
    </row>
    <row r="320" customFormat="false" ht="15" hidden="false" customHeight="false" outlineLevel="0" collapsed="false">
      <c r="A320" s="2" t="n">
        <v>319</v>
      </c>
      <c r="B320" s="3" t="s">
        <v>27</v>
      </c>
      <c r="C320" s="4" t="n">
        <v>2145</v>
      </c>
      <c r="D320" s="5" t="n">
        <v>46207</v>
      </c>
      <c r="E320" s="3" t="s">
        <v>53</v>
      </c>
      <c r="F320" s="2" t="str">
        <f aca="false">TEXT(D320,"mmmm")</f>
        <v>July</v>
      </c>
      <c r="G320" s="2" t="str">
        <f aca="false">INDEX('Product Summary'!$A$5:$A$24,MATCH(B320,'Product Summary'!$B$5:$B$24,0))</f>
        <v>PRD-1004</v>
      </c>
      <c r="H320" s="2" t="n">
        <v>3</v>
      </c>
      <c r="I320" s="6" t="n">
        <f aca="false">ROUND(J320*INDEX('Product Summary'!$E$5:$E$24,MATCH(B320,'Product Summary'!$B$5:$B$24,0)),2)</f>
        <v>1930.5</v>
      </c>
      <c r="J320" s="6" t="n">
        <f aca="false">C320*H320</f>
        <v>6435</v>
      </c>
    </row>
    <row r="321" customFormat="false" ht="15" hidden="false" customHeight="false" outlineLevel="0" collapsed="false">
      <c r="A321" s="2" t="n">
        <v>320</v>
      </c>
      <c r="B321" s="3" t="s">
        <v>27</v>
      </c>
      <c r="C321" s="4" t="n">
        <v>2340</v>
      </c>
      <c r="D321" s="5" t="n">
        <v>46208</v>
      </c>
      <c r="E321" s="3" t="s">
        <v>82</v>
      </c>
      <c r="F321" s="2" t="str">
        <f aca="false">TEXT(D321,"mmmm")</f>
        <v>July</v>
      </c>
      <c r="G321" s="2" t="str">
        <f aca="false">INDEX('Product Summary'!$A$5:$A$24,MATCH(B321,'Product Summary'!$B$5:$B$24,0))</f>
        <v>PRD-1004</v>
      </c>
      <c r="H321" s="2" t="n">
        <v>6</v>
      </c>
      <c r="I321" s="6" t="n">
        <f aca="false">ROUND(J321*INDEX('Product Summary'!$E$5:$E$24,MATCH(B321,'Product Summary'!$B$5:$B$24,0)),2)</f>
        <v>4212</v>
      </c>
      <c r="J321" s="6" t="n">
        <f aca="false">C321*H321</f>
        <v>14040</v>
      </c>
    </row>
    <row r="322" customFormat="false" ht="15" hidden="false" customHeight="false" outlineLevel="0" collapsed="false">
      <c r="A322" s="2" t="n">
        <v>321</v>
      </c>
      <c r="B322" s="3" t="s">
        <v>42</v>
      </c>
      <c r="C322" s="4" t="n">
        <v>1275</v>
      </c>
      <c r="D322" s="5" t="n">
        <v>46209</v>
      </c>
      <c r="E322" s="3" t="s">
        <v>39</v>
      </c>
      <c r="F322" s="2" t="str">
        <f aca="false">TEXT(D322,"mmmm")</f>
        <v>July</v>
      </c>
      <c r="G322" s="2" t="str">
        <f aca="false">INDEX('Product Summary'!$A$5:$A$24,MATCH(B322,'Product Summary'!$B$5:$B$24,0))</f>
        <v>PRD-1017</v>
      </c>
      <c r="H322" s="2" t="n">
        <v>5</v>
      </c>
      <c r="I322" s="6" t="n">
        <f aca="false">ROUND(J322*INDEX('Product Summary'!$E$5:$E$24,MATCH(B322,'Product Summary'!$B$5:$B$24,0)),2)</f>
        <v>2422.5</v>
      </c>
      <c r="J322" s="6" t="n">
        <f aca="false">C322*H322</f>
        <v>6375</v>
      </c>
    </row>
    <row r="323" customFormat="false" ht="15" hidden="false" customHeight="false" outlineLevel="0" collapsed="false">
      <c r="A323" s="2" t="n">
        <v>322</v>
      </c>
      <c r="B323" s="3" t="s">
        <v>42</v>
      </c>
      <c r="C323" s="4" t="n">
        <v>1205</v>
      </c>
      <c r="D323" s="5" t="n">
        <v>46211</v>
      </c>
      <c r="E323" s="3" t="s">
        <v>55</v>
      </c>
      <c r="F323" s="2" t="str">
        <f aca="false">TEXT(D323,"mmmm")</f>
        <v>July</v>
      </c>
      <c r="G323" s="2" t="str">
        <f aca="false">INDEX('Product Summary'!$A$5:$A$24,MATCH(B323,'Product Summary'!$B$5:$B$24,0))</f>
        <v>PRD-1017</v>
      </c>
      <c r="H323" s="2" t="n">
        <v>2</v>
      </c>
      <c r="I323" s="6" t="n">
        <f aca="false">ROUND(J323*INDEX('Product Summary'!$E$5:$E$24,MATCH(B323,'Product Summary'!$B$5:$B$24,0)),2)</f>
        <v>915.8</v>
      </c>
      <c r="J323" s="6" t="n">
        <f aca="false">C323*H323</f>
        <v>2410</v>
      </c>
    </row>
    <row r="324" customFormat="false" ht="15" hidden="false" customHeight="false" outlineLevel="0" collapsed="false">
      <c r="A324" s="2" t="n">
        <v>323</v>
      </c>
      <c r="B324" s="3" t="s">
        <v>34</v>
      </c>
      <c r="C324" s="4" t="n">
        <v>2050</v>
      </c>
      <c r="D324" s="5" t="n">
        <v>46211</v>
      </c>
      <c r="E324" s="3" t="s">
        <v>134</v>
      </c>
      <c r="F324" s="2" t="str">
        <f aca="false">TEXT(D324,"mmmm")</f>
        <v>July</v>
      </c>
      <c r="G324" s="2" t="str">
        <f aca="false">INDEX('Product Summary'!$A$5:$A$24,MATCH(B324,'Product Summary'!$B$5:$B$24,0))</f>
        <v>PRD-1006</v>
      </c>
      <c r="H324" s="2" t="n">
        <v>4</v>
      </c>
      <c r="I324" s="6" t="n">
        <f aca="false">ROUND(J324*INDEX('Product Summary'!$E$5:$E$24,MATCH(B324,'Product Summary'!$B$5:$B$24,0)),2)</f>
        <v>2214</v>
      </c>
      <c r="J324" s="6" t="n">
        <f aca="false">C324*H324</f>
        <v>8200</v>
      </c>
    </row>
    <row r="325" customFormat="false" ht="15" hidden="false" customHeight="false" outlineLevel="0" collapsed="false">
      <c r="A325" s="2" t="n">
        <v>324</v>
      </c>
      <c r="B325" s="3" t="s">
        <v>18</v>
      </c>
      <c r="C325" s="4" t="n">
        <v>1830</v>
      </c>
      <c r="D325" s="5" t="n">
        <v>46212</v>
      </c>
      <c r="E325" s="3" t="s">
        <v>110</v>
      </c>
      <c r="F325" s="2" t="str">
        <f aca="false">TEXT(D325,"mmmm")</f>
        <v>July</v>
      </c>
      <c r="G325" s="2" t="str">
        <f aca="false">INDEX('Product Summary'!$A$5:$A$24,MATCH(B325,'Product Summary'!$B$5:$B$24,0))</f>
        <v>PRD-1003</v>
      </c>
      <c r="H325" s="2" t="n">
        <v>1</v>
      </c>
      <c r="I325" s="6" t="n">
        <f aca="false">ROUND(J325*INDEX('Product Summary'!$E$5:$E$24,MATCH(B325,'Product Summary'!$B$5:$B$24,0)),2)</f>
        <v>640.5</v>
      </c>
      <c r="J325" s="6" t="n">
        <f aca="false">C325*H325</f>
        <v>1830</v>
      </c>
    </row>
    <row r="326" customFormat="false" ht="15" hidden="false" customHeight="false" outlineLevel="0" collapsed="false">
      <c r="A326" s="2" t="n">
        <v>325</v>
      </c>
      <c r="B326" s="3" t="s">
        <v>14</v>
      </c>
      <c r="C326" s="4" t="n">
        <v>2855</v>
      </c>
      <c r="D326" s="5" t="n">
        <v>46214</v>
      </c>
      <c r="E326" s="3" t="s">
        <v>44</v>
      </c>
      <c r="F326" s="2" t="str">
        <f aca="false">TEXT(D326,"mmmm")</f>
        <v>July</v>
      </c>
      <c r="G326" s="2" t="str">
        <f aca="false">INDEX('Product Summary'!$A$5:$A$24,MATCH(B326,'Product Summary'!$B$5:$B$24,0))</f>
        <v>PRD-1005</v>
      </c>
      <c r="H326" s="2" t="n">
        <v>1</v>
      </c>
      <c r="I326" s="6" t="n">
        <f aca="false">ROUND(J326*INDEX('Product Summary'!$E$5:$E$24,MATCH(B326,'Product Summary'!$B$5:$B$24,0)),2)</f>
        <v>742.3</v>
      </c>
      <c r="J326" s="6" t="n">
        <f aca="false">C326*H326</f>
        <v>2855</v>
      </c>
    </row>
    <row r="327" customFormat="false" ht="15" hidden="false" customHeight="false" outlineLevel="0" collapsed="false">
      <c r="A327" s="2" t="n">
        <v>326</v>
      </c>
      <c r="B327" s="3" t="s">
        <v>104</v>
      </c>
      <c r="C327" s="4" t="n">
        <v>8150</v>
      </c>
      <c r="D327" s="5" t="n">
        <v>46214</v>
      </c>
      <c r="E327" s="3" t="s">
        <v>44</v>
      </c>
      <c r="F327" s="2" t="str">
        <f aca="false">TEXT(D327,"mmmm")</f>
        <v>July</v>
      </c>
      <c r="G327" s="2" t="str">
        <f aca="false">INDEX('Product Summary'!$A$5:$A$24,MATCH(B327,'Product Summary'!$B$5:$B$24,0))</f>
        <v>PRD-1012</v>
      </c>
      <c r="H327" s="2" t="n">
        <v>1</v>
      </c>
      <c r="I327" s="6" t="n">
        <f aca="false">ROUND(J327*INDEX('Product Summary'!$E$5:$E$24,MATCH(B327,'Product Summary'!$B$5:$B$24,0)),2)</f>
        <v>1467</v>
      </c>
      <c r="J327" s="6" t="n">
        <f aca="false">C327*H327</f>
        <v>8150</v>
      </c>
    </row>
    <row r="328" customFormat="false" ht="15" hidden="false" customHeight="false" outlineLevel="0" collapsed="false">
      <c r="A328" s="2" t="n">
        <v>327</v>
      </c>
      <c r="B328" s="3" t="s">
        <v>27</v>
      </c>
      <c r="C328" s="4" t="n">
        <v>2320</v>
      </c>
      <c r="D328" s="5" t="n">
        <v>46215</v>
      </c>
      <c r="E328" s="3" t="s">
        <v>57</v>
      </c>
      <c r="F328" s="2" t="str">
        <f aca="false">TEXT(D328,"mmmm")</f>
        <v>July</v>
      </c>
      <c r="G328" s="2" t="str">
        <f aca="false">INDEX('Product Summary'!$A$5:$A$24,MATCH(B328,'Product Summary'!$B$5:$B$24,0))</f>
        <v>PRD-1004</v>
      </c>
      <c r="H328" s="2" t="n">
        <v>3</v>
      </c>
      <c r="I328" s="6" t="n">
        <f aca="false">ROUND(J328*INDEX('Product Summary'!$E$5:$E$24,MATCH(B328,'Product Summary'!$B$5:$B$24,0)),2)</f>
        <v>2088</v>
      </c>
      <c r="J328" s="6" t="n">
        <f aca="false">C328*H328</f>
        <v>6960</v>
      </c>
    </row>
    <row r="329" customFormat="false" ht="15" hidden="false" customHeight="false" outlineLevel="0" collapsed="false">
      <c r="A329" s="2" t="n">
        <v>328</v>
      </c>
      <c r="B329" s="3" t="s">
        <v>34</v>
      </c>
      <c r="C329" s="4" t="n">
        <v>2015</v>
      </c>
      <c r="D329" s="5" t="n">
        <v>46215</v>
      </c>
      <c r="E329" s="3" t="s">
        <v>44</v>
      </c>
      <c r="F329" s="2" t="str">
        <f aca="false">TEXT(D329,"mmmm")</f>
        <v>July</v>
      </c>
      <c r="G329" s="2" t="str">
        <f aca="false">INDEX('Product Summary'!$A$5:$A$24,MATCH(B329,'Product Summary'!$B$5:$B$24,0))</f>
        <v>PRD-1006</v>
      </c>
      <c r="H329" s="2" t="n">
        <v>3</v>
      </c>
      <c r="I329" s="6" t="n">
        <f aca="false">ROUND(J329*INDEX('Product Summary'!$E$5:$E$24,MATCH(B329,'Product Summary'!$B$5:$B$24,0)),2)</f>
        <v>1632.15</v>
      </c>
      <c r="J329" s="6" t="n">
        <f aca="false">C329*H329</f>
        <v>6045</v>
      </c>
    </row>
    <row r="330" customFormat="false" ht="15" hidden="false" customHeight="false" outlineLevel="0" collapsed="false">
      <c r="A330" s="2" t="n">
        <v>329</v>
      </c>
      <c r="B330" s="3" t="s">
        <v>48</v>
      </c>
      <c r="C330" s="4" t="n">
        <v>3830</v>
      </c>
      <c r="D330" s="5" t="n">
        <v>46216</v>
      </c>
      <c r="E330" s="3" t="s">
        <v>135</v>
      </c>
      <c r="F330" s="2" t="str">
        <f aca="false">TEXT(D330,"mmmm")</f>
        <v>July</v>
      </c>
      <c r="G330" s="2" t="str">
        <f aca="false">INDEX('Product Summary'!$A$5:$A$24,MATCH(B330,'Product Summary'!$B$5:$B$24,0))</f>
        <v>PRD-1013</v>
      </c>
      <c r="H330" s="2" t="n">
        <v>5</v>
      </c>
      <c r="I330" s="6" t="n">
        <f aca="false">ROUND(J330*INDEX('Product Summary'!$E$5:$E$24,MATCH(B330,'Product Summary'!$B$5:$B$24,0)),2)</f>
        <v>4596</v>
      </c>
      <c r="J330" s="6" t="n">
        <f aca="false">C330*H330</f>
        <v>19150</v>
      </c>
    </row>
    <row r="331" customFormat="false" ht="15" hidden="false" customHeight="false" outlineLevel="0" collapsed="false">
      <c r="A331" s="2" t="n">
        <v>330</v>
      </c>
      <c r="B331" s="3" t="s">
        <v>31</v>
      </c>
      <c r="C331" s="4" t="n">
        <v>25965</v>
      </c>
      <c r="D331" s="5" t="n">
        <v>46217</v>
      </c>
      <c r="E331" s="3" t="s">
        <v>72</v>
      </c>
      <c r="F331" s="2" t="str">
        <f aca="false">TEXT(D331,"mmmm")</f>
        <v>July</v>
      </c>
      <c r="G331" s="2" t="str">
        <f aca="false">INDEX('Product Summary'!$A$5:$A$24,MATCH(B331,'Product Summary'!$B$5:$B$24,0))</f>
        <v>PRD-1020</v>
      </c>
      <c r="H331" s="2" t="n">
        <v>1</v>
      </c>
      <c r="I331" s="6" t="n">
        <f aca="false">ROUND(J331*INDEX('Product Summary'!$E$5:$E$24,MATCH(B331,'Product Summary'!$B$5:$B$24,0)),2)</f>
        <v>2596.5</v>
      </c>
      <c r="J331" s="6" t="n">
        <f aca="false">C331*H331</f>
        <v>25965</v>
      </c>
    </row>
    <row r="332" customFormat="false" ht="15" hidden="false" customHeight="false" outlineLevel="0" collapsed="false">
      <c r="A332" s="2" t="n">
        <v>331</v>
      </c>
      <c r="B332" s="3" t="s">
        <v>12</v>
      </c>
      <c r="C332" s="4" t="n">
        <v>765</v>
      </c>
      <c r="D332" s="5" t="n">
        <v>46218</v>
      </c>
      <c r="E332" s="3" t="s">
        <v>39</v>
      </c>
      <c r="F332" s="2" t="str">
        <f aca="false">TEXT(D332,"mmmm")</f>
        <v>July</v>
      </c>
      <c r="G332" s="2" t="str">
        <f aca="false">INDEX('Product Summary'!$A$5:$A$24,MATCH(B332,'Product Summary'!$B$5:$B$24,0))</f>
        <v>PRD-1001</v>
      </c>
      <c r="H332" s="2" t="n">
        <v>5</v>
      </c>
      <c r="I332" s="6" t="n">
        <f aca="false">ROUND(J332*INDEX('Product Summary'!$E$5:$E$24,MATCH(B332,'Product Summary'!$B$5:$B$24,0)),2)</f>
        <v>1224</v>
      </c>
      <c r="J332" s="6" t="n">
        <f aca="false">C332*H332</f>
        <v>3825</v>
      </c>
    </row>
    <row r="333" customFormat="false" ht="15" hidden="false" customHeight="false" outlineLevel="0" collapsed="false">
      <c r="A333" s="2" t="n">
        <v>332</v>
      </c>
      <c r="B333" s="3" t="s">
        <v>12</v>
      </c>
      <c r="C333" s="4" t="n">
        <v>795</v>
      </c>
      <c r="D333" s="5" t="n">
        <v>46218</v>
      </c>
      <c r="E333" s="3" t="s">
        <v>74</v>
      </c>
      <c r="F333" s="2" t="str">
        <f aca="false">TEXT(D333,"mmmm")</f>
        <v>July</v>
      </c>
      <c r="G333" s="2" t="str">
        <f aca="false">INDEX('Product Summary'!$A$5:$A$24,MATCH(B333,'Product Summary'!$B$5:$B$24,0))</f>
        <v>PRD-1001</v>
      </c>
      <c r="H333" s="2" t="n">
        <v>10</v>
      </c>
      <c r="I333" s="6" t="n">
        <f aca="false">ROUND(J333*INDEX('Product Summary'!$E$5:$E$24,MATCH(B333,'Product Summary'!$B$5:$B$24,0)),2)</f>
        <v>2544</v>
      </c>
      <c r="J333" s="6" t="n">
        <f aca="false">C333*H333</f>
        <v>7950</v>
      </c>
    </row>
    <row r="334" customFormat="false" ht="15" hidden="false" customHeight="false" outlineLevel="0" collapsed="false">
      <c r="A334" s="2" t="n">
        <v>333</v>
      </c>
      <c r="B334" s="3" t="s">
        <v>12</v>
      </c>
      <c r="C334" s="4" t="n">
        <v>735</v>
      </c>
      <c r="D334" s="5" t="n">
        <v>46219</v>
      </c>
      <c r="E334" s="3" t="s">
        <v>51</v>
      </c>
      <c r="F334" s="2" t="str">
        <f aca="false">TEXT(D334,"mmmm")</f>
        <v>July</v>
      </c>
      <c r="G334" s="2" t="str">
        <f aca="false">INDEX('Product Summary'!$A$5:$A$24,MATCH(B334,'Product Summary'!$B$5:$B$24,0))</f>
        <v>PRD-1001</v>
      </c>
      <c r="H334" s="2" t="n">
        <v>8</v>
      </c>
      <c r="I334" s="6" t="n">
        <f aca="false">ROUND(J334*INDEX('Product Summary'!$E$5:$E$24,MATCH(B334,'Product Summary'!$B$5:$B$24,0)),2)</f>
        <v>1881.6</v>
      </c>
      <c r="J334" s="6" t="n">
        <f aca="false">C334*H334</f>
        <v>5880</v>
      </c>
    </row>
    <row r="335" customFormat="false" ht="15" hidden="false" customHeight="false" outlineLevel="0" collapsed="false">
      <c r="A335" s="2" t="n">
        <v>334</v>
      </c>
      <c r="B335" s="3" t="s">
        <v>12</v>
      </c>
      <c r="C335" s="4" t="n">
        <v>825</v>
      </c>
      <c r="D335" s="5" t="n">
        <v>46219</v>
      </c>
      <c r="E335" s="3" t="s">
        <v>102</v>
      </c>
      <c r="F335" s="2" t="str">
        <f aca="false">TEXT(D335,"mmmm")</f>
        <v>July</v>
      </c>
      <c r="G335" s="2" t="str">
        <f aca="false">INDEX('Product Summary'!$A$5:$A$24,MATCH(B335,'Product Summary'!$B$5:$B$24,0))</f>
        <v>PRD-1001</v>
      </c>
      <c r="H335" s="2" t="n">
        <v>10</v>
      </c>
      <c r="I335" s="6" t="n">
        <f aca="false">ROUND(J335*INDEX('Product Summary'!$E$5:$E$24,MATCH(B335,'Product Summary'!$B$5:$B$24,0)),2)</f>
        <v>2640</v>
      </c>
      <c r="J335" s="6" t="n">
        <f aca="false">C335*H335</f>
        <v>8250</v>
      </c>
    </row>
    <row r="336" customFormat="false" ht="15" hidden="false" customHeight="false" outlineLevel="0" collapsed="false">
      <c r="A336" s="2" t="n">
        <v>335</v>
      </c>
      <c r="B336" s="3" t="s">
        <v>34</v>
      </c>
      <c r="C336" s="4" t="n">
        <v>1870</v>
      </c>
      <c r="D336" s="5" t="n">
        <v>46219</v>
      </c>
      <c r="E336" s="3" t="s">
        <v>39</v>
      </c>
      <c r="F336" s="2" t="str">
        <f aca="false">TEXT(D336,"mmmm")</f>
        <v>July</v>
      </c>
      <c r="G336" s="2" t="str">
        <f aca="false">INDEX('Product Summary'!$A$5:$A$24,MATCH(B336,'Product Summary'!$B$5:$B$24,0))</f>
        <v>PRD-1006</v>
      </c>
      <c r="H336" s="2" t="n">
        <v>7</v>
      </c>
      <c r="I336" s="6" t="n">
        <f aca="false">ROUND(J336*INDEX('Product Summary'!$E$5:$E$24,MATCH(B336,'Product Summary'!$B$5:$B$24,0)),2)</f>
        <v>3534.3</v>
      </c>
      <c r="J336" s="6" t="n">
        <f aca="false">C336*H336</f>
        <v>13090</v>
      </c>
    </row>
    <row r="337" customFormat="false" ht="15" hidden="false" customHeight="false" outlineLevel="0" collapsed="false">
      <c r="A337" s="2" t="n">
        <v>336</v>
      </c>
      <c r="B337" s="3" t="s">
        <v>22</v>
      </c>
      <c r="C337" s="4" t="n">
        <v>7745</v>
      </c>
      <c r="D337" s="5" t="n">
        <v>46220</v>
      </c>
      <c r="E337" s="3" t="s">
        <v>70</v>
      </c>
      <c r="F337" s="2" t="str">
        <f aca="false">TEXT(D337,"mmmm")</f>
        <v>July</v>
      </c>
      <c r="G337" s="2" t="str">
        <f aca="false">INDEX('Product Summary'!$A$5:$A$24,MATCH(B337,'Product Summary'!$B$5:$B$24,0))</f>
        <v>PRD-1008</v>
      </c>
      <c r="H337" s="2" t="n">
        <v>1</v>
      </c>
      <c r="I337" s="6" t="n">
        <f aca="false">ROUND(J337*INDEX('Product Summary'!$E$5:$E$24,MATCH(B337,'Product Summary'!$B$5:$B$24,0)),2)</f>
        <v>1858.8</v>
      </c>
      <c r="J337" s="6" t="n">
        <f aca="false">C337*H337</f>
        <v>7745</v>
      </c>
    </row>
    <row r="338" customFormat="false" ht="15" hidden="false" customHeight="false" outlineLevel="0" collapsed="false">
      <c r="A338" s="2" t="n">
        <v>337</v>
      </c>
      <c r="B338" s="3" t="s">
        <v>27</v>
      </c>
      <c r="C338" s="4" t="n">
        <v>2150</v>
      </c>
      <c r="D338" s="5" t="n">
        <v>46220</v>
      </c>
      <c r="E338" s="3" t="s">
        <v>56</v>
      </c>
      <c r="F338" s="2" t="str">
        <f aca="false">TEXT(D338,"mmmm")</f>
        <v>July</v>
      </c>
      <c r="G338" s="2" t="str">
        <f aca="false">INDEX('Product Summary'!$A$5:$A$24,MATCH(B338,'Product Summary'!$B$5:$B$24,0))</f>
        <v>PRD-1004</v>
      </c>
      <c r="H338" s="2" t="n">
        <v>3</v>
      </c>
      <c r="I338" s="6" t="n">
        <f aca="false">ROUND(J338*INDEX('Product Summary'!$E$5:$E$24,MATCH(B338,'Product Summary'!$B$5:$B$24,0)),2)</f>
        <v>1935</v>
      </c>
      <c r="J338" s="6" t="n">
        <f aca="false">C338*H338</f>
        <v>6450</v>
      </c>
    </row>
    <row r="339" customFormat="false" ht="15" hidden="false" customHeight="false" outlineLevel="0" collapsed="false">
      <c r="A339" s="2" t="n">
        <v>338</v>
      </c>
      <c r="B339" s="3" t="s">
        <v>42</v>
      </c>
      <c r="C339" s="4" t="n">
        <v>1335</v>
      </c>
      <c r="D339" s="5" t="n">
        <v>46221</v>
      </c>
      <c r="E339" s="3" t="s">
        <v>13</v>
      </c>
      <c r="F339" s="2" t="str">
        <f aca="false">TEXT(D339,"mmmm")</f>
        <v>July</v>
      </c>
      <c r="G339" s="2" t="str">
        <f aca="false">INDEX('Product Summary'!$A$5:$A$24,MATCH(B339,'Product Summary'!$B$5:$B$24,0))</f>
        <v>PRD-1017</v>
      </c>
      <c r="H339" s="2" t="n">
        <v>1</v>
      </c>
      <c r="I339" s="6" t="n">
        <f aca="false">ROUND(J339*INDEX('Product Summary'!$E$5:$E$24,MATCH(B339,'Product Summary'!$B$5:$B$24,0)),2)</f>
        <v>507.3</v>
      </c>
      <c r="J339" s="6" t="n">
        <f aca="false">C339*H339</f>
        <v>1335</v>
      </c>
    </row>
    <row r="340" customFormat="false" ht="15" hidden="false" customHeight="false" outlineLevel="0" collapsed="false">
      <c r="A340" s="2" t="n">
        <v>339</v>
      </c>
      <c r="B340" s="3" t="s">
        <v>31</v>
      </c>
      <c r="C340" s="4" t="n">
        <v>25660</v>
      </c>
      <c r="D340" s="5" t="n">
        <v>46221</v>
      </c>
      <c r="E340" s="3" t="s">
        <v>63</v>
      </c>
      <c r="F340" s="2" t="str">
        <f aca="false">TEXT(D340,"mmmm")</f>
        <v>July</v>
      </c>
      <c r="G340" s="2" t="str">
        <f aca="false">INDEX('Product Summary'!$A$5:$A$24,MATCH(B340,'Product Summary'!$B$5:$B$24,0))</f>
        <v>PRD-1020</v>
      </c>
      <c r="H340" s="2" t="n">
        <v>3</v>
      </c>
      <c r="I340" s="6" t="n">
        <f aca="false">ROUND(J340*INDEX('Product Summary'!$E$5:$E$24,MATCH(B340,'Product Summary'!$B$5:$B$24,0)),2)</f>
        <v>7698</v>
      </c>
      <c r="J340" s="6" t="n">
        <f aca="false">C340*H340</f>
        <v>76980</v>
      </c>
    </row>
    <row r="341" customFormat="false" ht="15" hidden="false" customHeight="false" outlineLevel="0" collapsed="false">
      <c r="A341" s="2" t="n">
        <v>340</v>
      </c>
      <c r="B341" s="3" t="s">
        <v>22</v>
      </c>
      <c r="C341" s="4" t="n">
        <v>8225</v>
      </c>
      <c r="D341" s="5" t="n">
        <v>46222</v>
      </c>
      <c r="E341" s="3" t="s">
        <v>110</v>
      </c>
      <c r="F341" s="2" t="str">
        <f aca="false">TEXT(D341,"mmmm")</f>
        <v>July</v>
      </c>
      <c r="G341" s="2" t="str">
        <f aca="false">INDEX('Product Summary'!$A$5:$A$24,MATCH(B341,'Product Summary'!$B$5:$B$24,0))</f>
        <v>PRD-1008</v>
      </c>
      <c r="H341" s="2" t="n">
        <v>3</v>
      </c>
      <c r="I341" s="6" t="n">
        <f aca="false">ROUND(J341*INDEX('Product Summary'!$E$5:$E$24,MATCH(B341,'Product Summary'!$B$5:$B$24,0)),2)</f>
        <v>5922</v>
      </c>
      <c r="J341" s="6" t="n">
        <f aca="false">C341*H341</f>
        <v>24675</v>
      </c>
    </row>
    <row r="342" customFormat="false" ht="15" hidden="false" customHeight="false" outlineLevel="0" collapsed="false">
      <c r="A342" s="2" t="n">
        <v>341</v>
      </c>
      <c r="B342" s="3" t="s">
        <v>31</v>
      </c>
      <c r="C342" s="4" t="n">
        <v>24880</v>
      </c>
      <c r="D342" s="5" t="n">
        <v>46222</v>
      </c>
      <c r="E342" s="3" t="s">
        <v>49</v>
      </c>
      <c r="F342" s="2" t="str">
        <f aca="false">TEXT(D342,"mmmm")</f>
        <v>July</v>
      </c>
      <c r="G342" s="2" t="str">
        <f aca="false">INDEX('Product Summary'!$A$5:$A$24,MATCH(B342,'Product Summary'!$B$5:$B$24,0))</f>
        <v>PRD-1020</v>
      </c>
      <c r="H342" s="2" t="n">
        <v>1</v>
      </c>
      <c r="I342" s="6" t="n">
        <f aca="false">ROUND(J342*INDEX('Product Summary'!$E$5:$E$24,MATCH(B342,'Product Summary'!$B$5:$B$24,0)),2)</f>
        <v>2488</v>
      </c>
      <c r="J342" s="6" t="n">
        <f aca="false">C342*H342</f>
        <v>24880</v>
      </c>
    </row>
    <row r="343" customFormat="false" ht="15" hidden="false" customHeight="false" outlineLevel="0" collapsed="false">
      <c r="A343" s="2" t="n">
        <v>342</v>
      </c>
      <c r="B343" s="3" t="s">
        <v>42</v>
      </c>
      <c r="C343" s="4" t="n">
        <v>1290</v>
      </c>
      <c r="D343" s="5" t="n">
        <v>46224</v>
      </c>
      <c r="E343" s="3" t="s">
        <v>36</v>
      </c>
      <c r="F343" s="2" t="str">
        <f aca="false">TEXT(D343,"mmmm")</f>
        <v>July</v>
      </c>
      <c r="G343" s="2" t="str">
        <f aca="false">INDEX('Product Summary'!$A$5:$A$24,MATCH(B343,'Product Summary'!$B$5:$B$24,0))</f>
        <v>PRD-1017</v>
      </c>
      <c r="H343" s="2" t="n">
        <v>4</v>
      </c>
      <c r="I343" s="6" t="n">
        <f aca="false">ROUND(J343*INDEX('Product Summary'!$E$5:$E$24,MATCH(B343,'Product Summary'!$B$5:$B$24,0)),2)</f>
        <v>1960.8</v>
      </c>
      <c r="J343" s="6" t="n">
        <f aca="false">C343*H343</f>
        <v>5160</v>
      </c>
    </row>
    <row r="344" customFormat="false" ht="15" hidden="false" customHeight="false" outlineLevel="0" collapsed="false">
      <c r="A344" s="2" t="n">
        <v>343</v>
      </c>
      <c r="B344" s="3" t="s">
        <v>43</v>
      </c>
      <c r="C344" s="4" t="n">
        <v>11220</v>
      </c>
      <c r="D344" s="5" t="n">
        <v>46225</v>
      </c>
      <c r="E344" s="3" t="s">
        <v>136</v>
      </c>
      <c r="F344" s="2" t="str">
        <f aca="false">TEXT(D344,"mmmm")</f>
        <v>July</v>
      </c>
      <c r="G344" s="2" t="str">
        <f aca="false">INDEX('Product Summary'!$A$5:$A$24,MATCH(B344,'Product Summary'!$B$5:$B$24,0))</f>
        <v>PRD-1015</v>
      </c>
      <c r="H344" s="2" t="n">
        <v>2</v>
      </c>
      <c r="I344" s="6" t="n">
        <f aca="false">ROUND(J344*INDEX('Product Summary'!$E$5:$E$24,MATCH(B344,'Product Summary'!$B$5:$B$24,0)),2)</f>
        <v>4488</v>
      </c>
      <c r="J344" s="6" t="n">
        <f aca="false">C344*H344</f>
        <v>22440</v>
      </c>
    </row>
    <row r="345" customFormat="false" ht="15" hidden="false" customHeight="false" outlineLevel="0" collapsed="false">
      <c r="A345" s="2" t="n">
        <v>344</v>
      </c>
      <c r="B345" s="3" t="s">
        <v>31</v>
      </c>
      <c r="C345" s="4" t="n">
        <v>24555</v>
      </c>
      <c r="D345" s="5" t="n">
        <v>46226</v>
      </c>
      <c r="E345" s="3" t="s">
        <v>137</v>
      </c>
      <c r="F345" s="2" t="str">
        <f aca="false">TEXT(D345,"mmmm")</f>
        <v>July</v>
      </c>
      <c r="G345" s="2" t="str">
        <f aca="false">INDEX('Product Summary'!$A$5:$A$24,MATCH(B345,'Product Summary'!$B$5:$B$24,0))</f>
        <v>PRD-1020</v>
      </c>
      <c r="H345" s="2" t="n">
        <v>1</v>
      </c>
      <c r="I345" s="6" t="n">
        <f aca="false">ROUND(J345*INDEX('Product Summary'!$E$5:$E$24,MATCH(B345,'Product Summary'!$B$5:$B$24,0)),2)</f>
        <v>2455.5</v>
      </c>
      <c r="J345" s="6" t="n">
        <f aca="false">C345*H345</f>
        <v>24555</v>
      </c>
    </row>
    <row r="346" customFormat="false" ht="15" hidden="false" customHeight="false" outlineLevel="0" collapsed="false">
      <c r="A346" s="2" t="n">
        <v>345</v>
      </c>
      <c r="B346" s="3" t="s">
        <v>43</v>
      </c>
      <c r="C346" s="4" t="n">
        <v>11220</v>
      </c>
      <c r="D346" s="5" t="n">
        <v>46228</v>
      </c>
      <c r="E346" s="3" t="s">
        <v>61</v>
      </c>
      <c r="F346" s="2" t="str">
        <f aca="false">TEXT(D346,"mmmm")</f>
        <v>July</v>
      </c>
      <c r="G346" s="2" t="str">
        <f aca="false">INDEX('Product Summary'!$A$5:$A$24,MATCH(B346,'Product Summary'!$B$5:$B$24,0))</f>
        <v>PRD-1015</v>
      </c>
      <c r="H346" s="2" t="n">
        <v>3</v>
      </c>
      <c r="I346" s="6" t="n">
        <f aca="false">ROUND(J346*INDEX('Product Summary'!$E$5:$E$24,MATCH(B346,'Product Summary'!$B$5:$B$24,0)),2)</f>
        <v>6732</v>
      </c>
      <c r="J346" s="6" t="n">
        <f aca="false">C346*H346</f>
        <v>33660</v>
      </c>
    </row>
    <row r="347" customFormat="false" ht="15" hidden="false" customHeight="false" outlineLevel="0" collapsed="false">
      <c r="A347" s="2" t="n">
        <v>346</v>
      </c>
      <c r="B347" s="3" t="s">
        <v>22</v>
      </c>
      <c r="C347" s="4" t="n">
        <v>7405</v>
      </c>
      <c r="D347" s="5" t="n">
        <v>46229</v>
      </c>
      <c r="E347" s="3" t="s">
        <v>57</v>
      </c>
      <c r="F347" s="2" t="str">
        <f aca="false">TEXT(D347,"mmmm")</f>
        <v>July</v>
      </c>
      <c r="G347" s="2" t="str">
        <f aca="false">INDEX('Product Summary'!$A$5:$A$24,MATCH(B347,'Product Summary'!$B$5:$B$24,0))</f>
        <v>PRD-1008</v>
      </c>
      <c r="H347" s="2" t="n">
        <v>2</v>
      </c>
      <c r="I347" s="6" t="n">
        <f aca="false">ROUND(J347*INDEX('Product Summary'!$E$5:$E$24,MATCH(B347,'Product Summary'!$B$5:$B$24,0)),2)</f>
        <v>3554.4</v>
      </c>
      <c r="J347" s="6" t="n">
        <f aca="false">C347*H347</f>
        <v>14810</v>
      </c>
    </row>
    <row r="348" customFormat="false" ht="15" hidden="false" customHeight="false" outlineLevel="0" collapsed="false">
      <c r="A348" s="2" t="n">
        <v>347</v>
      </c>
      <c r="B348" s="3" t="s">
        <v>31</v>
      </c>
      <c r="C348" s="4" t="n">
        <v>23055</v>
      </c>
      <c r="D348" s="5" t="n">
        <v>46229</v>
      </c>
      <c r="E348" s="3" t="s">
        <v>126</v>
      </c>
      <c r="F348" s="2" t="str">
        <f aca="false">TEXT(D348,"mmmm")</f>
        <v>July</v>
      </c>
      <c r="G348" s="2" t="str">
        <f aca="false">INDEX('Product Summary'!$A$5:$A$24,MATCH(B348,'Product Summary'!$B$5:$B$24,0))</f>
        <v>PRD-1020</v>
      </c>
      <c r="H348" s="2" t="n">
        <v>3</v>
      </c>
      <c r="I348" s="6" t="n">
        <f aca="false">ROUND(J348*INDEX('Product Summary'!$E$5:$E$24,MATCH(B348,'Product Summary'!$B$5:$B$24,0)),2)</f>
        <v>6916.5</v>
      </c>
      <c r="J348" s="6" t="n">
        <f aca="false">C348*H348</f>
        <v>69165</v>
      </c>
    </row>
    <row r="349" customFormat="false" ht="15" hidden="false" customHeight="false" outlineLevel="0" collapsed="false">
      <c r="A349" s="2" t="n">
        <v>348</v>
      </c>
      <c r="B349" s="3" t="s">
        <v>34</v>
      </c>
      <c r="C349" s="4" t="n">
        <v>2045</v>
      </c>
      <c r="D349" s="5" t="n">
        <v>46230</v>
      </c>
      <c r="E349" s="3" t="s">
        <v>62</v>
      </c>
      <c r="F349" s="2" t="str">
        <f aca="false">TEXT(D349,"mmmm")</f>
        <v>July</v>
      </c>
      <c r="G349" s="2" t="str">
        <f aca="false">INDEX('Product Summary'!$A$5:$A$24,MATCH(B349,'Product Summary'!$B$5:$B$24,0))</f>
        <v>PRD-1006</v>
      </c>
      <c r="H349" s="2" t="n">
        <v>3</v>
      </c>
      <c r="I349" s="6" t="n">
        <f aca="false">ROUND(J349*INDEX('Product Summary'!$E$5:$E$24,MATCH(B349,'Product Summary'!$B$5:$B$24,0)),2)</f>
        <v>1656.45</v>
      </c>
      <c r="J349" s="6" t="n">
        <f aca="false">C349*H349</f>
        <v>6135</v>
      </c>
    </row>
    <row r="350" customFormat="false" ht="15" hidden="false" customHeight="false" outlineLevel="0" collapsed="false">
      <c r="A350" s="2" t="n">
        <v>349</v>
      </c>
      <c r="B350" s="3" t="s">
        <v>12</v>
      </c>
      <c r="C350" s="4" t="n">
        <v>820</v>
      </c>
      <c r="D350" s="5" t="n">
        <v>46231</v>
      </c>
      <c r="E350" s="3" t="s">
        <v>58</v>
      </c>
      <c r="F350" s="2" t="str">
        <f aca="false">TEXT(D350,"mmmm")</f>
        <v>July</v>
      </c>
      <c r="G350" s="2" t="str">
        <f aca="false">INDEX('Product Summary'!$A$5:$A$24,MATCH(B350,'Product Summary'!$B$5:$B$24,0))</f>
        <v>PRD-1001</v>
      </c>
      <c r="H350" s="2" t="n">
        <v>2</v>
      </c>
      <c r="I350" s="6" t="n">
        <f aca="false">ROUND(J350*INDEX('Product Summary'!$E$5:$E$24,MATCH(B350,'Product Summary'!$B$5:$B$24,0)),2)</f>
        <v>524.8</v>
      </c>
      <c r="J350" s="6" t="n">
        <f aca="false">C350*H350</f>
        <v>1640</v>
      </c>
    </row>
    <row r="351" customFormat="false" ht="15" hidden="false" customHeight="false" outlineLevel="0" collapsed="false">
      <c r="A351" s="2" t="n">
        <v>350</v>
      </c>
      <c r="B351" s="3" t="s">
        <v>22</v>
      </c>
      <c r="C351" s="4" t="n">
        <v>7915</v>
      </c>
      <c r="D351" s="5" t="n">
        <v>46231</v>
      </c>
      <c r="E351" s="3" t="s">
        <v>79</v>
      </c>
      <c r="F351" s="2" t="str">
        <f aca="false">TEXT(D351,"mmmm")</f>
        <v>July</v>
      </c>
      <c r="G351" s="2" t="str">
        <f aca="false">INDEX('Product Summary'!$A$5:$A$24,MATCH(B351,'Product Summary'!$B$5:$B$24,0))</f>
        <v>PRD-1008</v>
      </c>
      <c r="H351" s="2" t="n">
        <v>3</v>
      </c>
      <c r="I351" s="6" t="n">
        <f aca="false">ROUND(J351*INDEX('Product Summary'!$E$5:$E$24,MATCH(B351,'Product Summary'!$B$5:$B$24,0)),2)</f>
        <v>5698.8</v>
      </c>
      <c r="J351" s="6" t="n">
        <f aca="false">C351*H351</f>
        <v>23745</v>
      </c>
    </row>
    <row r="352" customFormat="false" ht="15" hidden="false" customHeight="false" outlineLevel="0" collapsed="false">
      <c r="A352" s="2" t="n">
        <v>351</v>
      </c>
      <c r="B352" s="3" t="s">
        <v>104</v>
      </c>
      <c r="C352" s="4" t="n">
        <v>7930</v>
      </c>
      <c r="D352" s="5" t="n">
        <v>46232</v>
      </c>
      <c r="E352" s="3" t="s">
        <v>63</v>
      </c>
      <c r="F352" s="2" t="str">
        <f aca="false">TEXT(D352,"mmmm")</f>
        <v>July</v>
      </c>
      <c r="G352" s="2" t="str">
        <f aca="false">INDEX('Product Summary'!$A$5:$A$24,MATCH(B352,'Product Summary'!$B$5:$B$24,0))</f>
        <v>PRD-1012</v>
      </c>
      <c r="H352" s="2" t="n">
        <v>2</v>
      </c>
      <c r="I352" s="6" t="n">
        <f aca="false">ROUND(J352*INDEX('Product Summary'!$E$5:$E$24,MATCH(B352,'Product Summary'!$B$5:$B$24,0)),2)</f>
        <v>2854.8</v>
      </c>
      <c r="J352" s="6" t="n">
        <f aca="false">C352*H352</f>
        <v>15860</v>
      </c>
    </row>
    <row r="353" customFormat="false" ht="15" hidden="false" customHeight="false" outlineLevel="0" collapsed="false">
      <c r="A353" s="2" t="n">
        <v>352</v>
      </c>
      <c r="B353" s="3" t="s">
        <v>22</v>
      </c>
      <c r="C353" s="4" t="n">
        <v>8145</v>
      </c>
      <c r="D353" s="5" t="n">
        <v>46232</v>
      </c>
      <c r="E353" s="3" t="s">
        <v>50</v>
      </c>
      <c r="F353" s="2" t="str">
        <f aca="false">TEXT(D353,"mmmm")</f>
        <v>July</v>
      </c>
      <c r="G353" s="2" t="str">
        <f aca="false">INDEX('Product Summary'!$A$5:$A$24,MATCH(B353,'Product Summary'!$B$5:$B$24,0))</f>
        <v>PRD-1008</v>
      </c>
      <c r="H353" s="2" t="n">
        <v>4</v>
      </c>
      <c r="I353" s="6" t="n">
        <f aca="false">ROUND(J353*INDEX('Product Summary'!$E$5:$E$24,MATCH(B353,'Product Summary'!$B$5:$B$24,0)),2)</f>
        <v>7819.2</v>
      </c>
      <c r="J353" s="6" t="n">
        <f aca="false">C353*H353</f>
        <v>32580</v>
      </c>
    </row>
    <row r="354" customFormat="false" ht="15" hidden="false" customHeight="false" outlineLevel="0" collapsed="false">
      <c r="A354" s="2" t="n">
        <v>353</v>
      </c>
      <c r="B354" s="3" t="s">
        <v>64</v>
      </c>
      <c r="C354" s="4" t="n">
        <v>12255</v>
      </c>
      <c r="D354" s="5" t="n">
        <v>46233</v>
      </c>
      <c r="E354" s="3" t="s">
        <v>114</v>
      </c>
      <c r="F354" s="2" t="str">
        <f aca="false">TEXT(D354,"mmmm")</f>
        <v>July</v>
      </c>
      <c r="G354" s="2" t="str">
        <f aca="false">INDEX('Product Summary'!$A$5:$A$24,MATCH(B354,'Product Summary'!$B$5:$B$24,0))</f>
        <v>PRD-1014</v>
      </c>
      <c r="H354" s="2" t="n">
        <v>3</v>
      </c>
      <c r="I354" s="6" t="n">
        <f aca="false">ROUND(J354*INDEX('Product Summary'!$E$5:$E$24,MATCH(B354,'Product Summary'!$B$5:$B$24,0)),2)</f>
        <v>5882.4</v>
      </c>
      <c r="J354" s="6" t="n">
        <f aca="false">C354*H354</f>
        <v>36765</v>
      </c>
    </row>
    <row r="355" customFormat="false" ht="15" hidden="false" customHeight="false" outlineLevel="0" collapsed="false">
      <c r="A355" s="2" t="n">
        <v>354</v>
      </c>
      <c r="B355" s="3" t="s">
        <v>10</v>
      </c>
      <c r="C355" s="4" t="n">
        <v>17430</v>
      </c>
      <c r="D355" s="5" t="n">
        <v>46234</v>
      </c>
      <c r="E355" s="3" t="s">
        <v>32</v>
      </c>
      <c r="F355" s="2" t="str">
        <f aca="false">TEXT(D355,"mmmm")</f>
        <v>July</v>
      </c>
      <c r="G355" s="2" t="str">
        <f aca="false">INDEX('Product Summary'!$A$5:$A$24,MATCH(B355,'Product Summary'!$B$5:$B$24,0))</f>
        <v>PRD-1011</v>
      </c>
      <c r="H355" s="2" t="n">
        <v>1</v>
      </c>
      <c r="I355" s="6" t="n">
        <f aca="false">ROUND(J355*INDEX('Product Summary'!$E$5:$E$24,MATCH(B355,'Product Summary'!$B$5:$B$24,0)),2)</f>
        <v>2614.5</v>
      </c>
      <c r="J355" s="6" t="n">
        <f aca="false">C355*H355</f>
        <v>17430</v>
      </c>
    </row>
    <row r="356" customFormat="false" ht="15" hidden="false" customHeight="false" outlineLevel="0" collapsed="false">
      <c r="A356" s="2" t="n">
        <v>355</v>
      </c>
      <c r="B356" s="3" t="s">
        <v>60</v>
      </c>
      <c r="C356" s="4" t="n">
        <v>5830</v>
      </c>
      <c r="D356" s="5" t="n">
        <v>46235</v>
      </c>
      <c r="E356" s="3" t="s">
        <v>58</v>
      </c>
      <c r="F356" s="2" t="str">
        <f aca="false">TEXT(D356,"mmmm")</f>
        <v>August</v>
      </c>
      <c r="G356" s="2" t="str">
        <f aca="false">INDEX('Product Summary'!$A$5:$A$24,MATCH(B356,'Product Summary'!$B$5:$B$24,0))</f>
        <v>PRD-1009</v>
      </c>
      <c r="H356" s="2" t="n">
        <v>2</v>
      </c>
      <c r="I356" s="6" t="n">
        <f aca="false">ROUND(J356*INDEX('Product Summary'!$E$5:$E$24,MATCH(B356,'Product Summary'!$B$5:$B$24,0)),2)</f>
        <v>2565.2</v>
      </c>
      <c r="J356" s="6" t="n">
        <f aca="false">C356*H356</f>
        <v>11660</v>
      </c>
    </row>
    <row r="357" customFormat="false" ht="15" hidden="false" customHeight="false" outlineLevel="0" collapsed="false">
      <c r="A357" s="2" t="n">
        <v>356</v>
      </c>
      <c r="B357" s="3" t="s">
        <v>34</v>
      </c>
      <c r="C357" s="4" t="n">
        <v>1945</v>
      </c>
      <c r="D357" s="5" t="n">
        <v>46235</v>
      </c>
      <c r="E357" s="3" t="s">
        <v>59</v>
      </c>
      <c r="F357" s="2" t="str">
        <f aca="false">TEXT(D357,"mmmm")</f>
        <v>August</v>
      </c>
      <c r="G357" s="2" t="str">
        <f aca="false">INDEX('Product Summary'!$A$5:$A$24,MATCH(B357,'Product Summary'!$B$5:$B$24,0))</f>
        <v>PRD-1006</v>
      </c>
      <c r="H357" s="2" t="n">
        <v>4</v>
      </c>
      <c r="I357" s="6" t="n">
        <f aca="false">ROUND(J357*INDEX('Product Summary'!$E$5:$E$24,MATCH(B357,'Product Summary'!$B$5:$B$24,0)),2)</f>
        <v>2100.6</v>
      </c>
      <c r="J357" s="6" t="n">
        <f aca="false">C357*H357</f>
        <v>7780</v>
      </c>
    </row>
    <row r="358" customFormat="false" ht="15" hidden="false" customHeight="false" outlineLevel="0" collapsed="false">
      <c r="A358" s="2" t="n">
        <v>357</v>
      </c>
      <c r="B358" s="3" t="s">
        <v>22</v>
      </c>
      <c r="C358" s="4" t="n">
        <v>8100</v>
      </c>
      <c r="D358" s="5" t="n">
        <v>46237</v>
      </c>
      <c r="E358" s="3" t="s">
        <v>51</v>
      </c>
      <c r="F358" s="2" t="str">
        <f aca="false">TEXT(D358,"mmmm")</f>
        <v>August</v>
      </c>
      <c r="G358" s="2" t="str">
        <f aca="false">INDEX('Product Summary'!$A$5:$A$24,MATCH(B358,'Product Summary'!$B$5:$B$24,0))</f>
        <v>PRD-1008</v>
      </c>
      <c r="H358" s="2" t="n">
        <v>4</v>
      </c>
      <c r="I358" s="6" t="n">
        <f aca="false">ROUND(J358*INDEX('Product Summary'!$E$5:$E$24,MATCH(B358,'Product Summary'!$B$5:$B$24,0)),2)</f>
        <v>7776</v>
      </c>
      <c r="J358" s="6" t="n">
        <f aca="false">C358*H358</f>
        <v>32400</v>
      </c>
    </row>
    <row r="359" customFormat="false" ht="15" hidden="false" customHeight="false" outlineLevel="0" collapsed="false">
      <c r="A359" s="2" t="n">
        <v>358</v>
      </c>
      <c r="B359" s="3" t="s">
        <v>52</v>
      </c>
      <c r="C359" s="4" t="n">
        <v>3400</v>
      </c>
      <c r="D359" s="5" t="n">
        <v>46238</v>
      </c>
      <c r="E359" s="3" t="s">
        <v>76</v>
      </c>
      <c r="F359" s="2" t="str">
        <f aca="false">TEXT(D359,"mmmm")</f>
        <v>August</v>
      </c>
      <c r="G359" s="2" t="str">
        <f aca="false">INDEX('Product Summary'!$A$5:$A$24,MATCH(B359,'Product Summary'!$B$5:$B$24,0))</f>
        <v>PRD-1002</v>
      </c>
      <c r="H359" s="2" t="n">
        <v>3</v>
      </c>
      <c r="I359" s="6" t="n">
        <f aca="false">ROUND(J359*INDEX('Product Summary'!$E$5:$E$24,MATCH(B359,'Product Summary'!$B$5:$B$24,0)),2)</f>
        <v>2856</v>
      </c>
      <c r="J359" s="6" t="n">
        <f aca="false">C359*H359</f>
        <v>10200</v>
      </c>
    </row>
    <row r="360" customFormat="false" ht="15" hidden="false" customHeight="false" outlineLevel="0" collapsed="false">
      <c r="A360" s="2" t="n">
        <v>359</v>
      </c>
      <c r="B360" s="3" t="s">
        <v>12</v>
      </c>
      <c r="C360" s="4" t="n">
        <v>765</v>
      </c>
      <c r="D360" s="5" t="n">
        <v>46238</v>
      </c>
      <c r="E360" s="3" t="s">
        <v>127</v>
      </c>
      <c r="F360" s="2" t="str">
        <f aca="false">TEXT(D360,"mmmm")</f>
        <v>August</v>
      </c>
      <c r="G360" s="2" t="str">
        <f aca="false">INDEX('Product Summary'!$A$5:$A$24,MATCH(B360,'Product Summary'!$B$5:$B$24,0))</f>
        <v>PRD-1001</v>
      </c>
      <c r="H360" s="2" t="n">
        <v>6</v>
      </c>
      <c r="I360" s="6" t="n">
        <f aca="false">ROUND(J360*INDEX('Product Summary'!$E$5:$E$24,MATCH(B360,'Product Summary'!$B$5:$B$24,0)),2)</f>
        <v>1468.8</v>
      </c>
      <c r="J360" s="6" t="n">
        <f aca="false">C360*H360</f>
        <v>4590</v>
      </c>
    </row>
    <row r="361" customFormat="false" ht="15" hidden="false" customHeight="false" outlineLevel="0" collapsed="false">
      <c r="A361" s="2" t="n">
        <v>360</v>
      </c>
      <c r="B361" s="3" t="s">
        <v>20</v>
      </c>
      <c r="C361" s="4" t="n">
        <v>19610</v>
      </c>
      <c r="D361" s="5" t="n">
        <v>46240</v>
      </c>
      <c r="E361" s="3" t="s">
        <v>54</v>
      </c>
      <c r="F361" s="2" t="str">
        <f aca="false">TEXT(D361,"mmmm")</f>
        <v>August</v>
      </c>
      <c r="G361" s="2" t="str">
        <f aca="false">INDEX('Product Summary'!$A$5:$A$24,MATCH(B361,'Product Summary'!$B$5:$B$24,0))</f>
        <v>PRD-1019</v>
      </c>
      <c r="H361" s="2" t="n">
        <v>2</v>
      </c>
      <c r="I361" s="6" t="n">
        <f aca="false">ROUND(J361*INDEX('Product Summary'!$E$5:$E$24,MATCH(B361,'Product Summary'!$B$5:$B$24,0)),2)</f>
        <v>4706.4</v>
      </c>
      <c r="J361" s="6" t="n">
        <f aca="false">C361*H361</f>
        <v>39220</v>
      </c>
    </row>
    <row r="362" customFormat="false" ht="15" hidden="false" customHeight="false" outlineLevel="0" collapsed="false">
      <c r="A362" s="2" t="n">
        <v>361</v>
      </c>
      <c r="B362" s="3" t="s">
        <v>45</v>
      </c>
      <c r="C362" s="4" t="n">
        <v>2540</v>
      </c>
      <c r="D362" s="5" t="n">
        <v>46240</v>
      </c>
      <c r="E362" s="3" t="s">
        <v>138</v>
      </c>
      <c r="F362" s="2" t="str">
        <f aca="false">TEXT(D362,"mmmm")</f>
        <v>August</v>
      </c>
      <c r="G362" s="2" t="str">
        <f aca="false">INDEX('Product Summary'!$A$5:$A$24,MATCH(B362,'Product Summary'!$B$5:$B$24,0))</f>
        <v>PRD-1010</v>
      </c>
      <c r="H362" s="2" t="n">
        <v>1</v>
      </c>
      <c r="I362" s="6" t="n">
        <f aca="false">ROUND(J362*INDEX('Product Summary'!$E$5:$E$24,MATCH(B362,'Product Summary'!$B$5:$B$24,0)),2)</f>
        <v>635</v>
      </c>
      <c r="J362" s="6" t="n">
        <f aca="false">C362*H362</f>
        <v>2540</v>
      </c>
    </row>
    <row r="363" customFormat="false" ht="15" hidden="false" customHeight="false" outlineLevel="0" collapsed="false">
      <c r="A363" s="2" t="n">
        <v>362</v>
      </c>
      <c r="B363" s="3" t="s">
        <v>27</v>
      </c>
      <c r="C363" s="4" t="n">
        <v>2240</v>
      </c>
      <c r="D363" s="5" t="n">
        <v>46240</v>
      </c>
      <c r="E363" s="3" t="s">
        <v>126</v>
      </c>
      <c r="F363" s="2" t="str">
        <f aca="false">TEXT(D363,"mmmm")</f>
        <v>August</v>
      </c>
      <c r="G363" s="2" t="str">
        <f aca="false">INDEX('Product Summary'!$A$5:$A$24,MATCH(B363,'Product Summary'!$B$5:$B$24,0))</f>
        <v>PRD-1004</v>
      </c>
      <c r="H363" s="2" t="n">
        <v>6</v>
      </c>
      <c r="I363" s="6" t="n">
        <f aca="false">ROUND(J363*INDEX('Product Summary'!$E$5:$E$24,MATCH(B363,'Product Summary'!$B$5:$B$24,0)),2)</f>
        <v>4032</v>
      </c>
      <c r="J363" s="6" t="n">
        <f aca="false">C363*H363</f>
        <v>13440</v>
      </c>
    </row>
    <row r="364" customFormat="false" ht="15" hidden="false" customHeight="false" outlineLevel="0" collapsed="false">
      <c r="A364" s="2" t="n">
        <v>363</v>
      </c>
      <c r="B364" s="3" t="s">
        <v>14</v>
      </c>
      <c r="C364" s="4" t="n">
        <v>2805</v>
      </c>
      <c r="D364" s="5" t="n">
        <v>46240</v>
      </c>
      <c r="E364" s="3" t="s">
        <v>127</v>
      </c>
      <c r="F364" s="2" t="str">
        <f aca="false">TEXT(D364,"mmmm")</f>
        <v>August</v>
      </c>
      <c r="G364" s="2" t="str">
        <f aca="false">INDEX('Product Summary'!$A$5:$A$24,MATCH(B364,'Product Summary'!$B$5:$B$24,0))</f>
        <v>PRD-1005</v>
      </c>
      <c r="H364" s="2" t="n">
        <v>4</v>
      </c>
      <c r="I364" s="6" t="n">
        <f aca="false">ROUND(J364*INDEX('Product Summary'!$E$5:$E$24,MATCH(B364,'Product Summary'!$B$5:$B$24,0)),2)</f>
        <v>2917.2</v>
      </c>
      <c r="J364" s="6" t="n">
        <f aca="false">C364*H364</f>
        <v>11220</v>
      </c>
    </row>
    <row r="365" customFormat="false" ht="15" hidden="false" customHeight="false" outlineLevel="0" collapsed="false">
      <c r="A365" s="2" t="n">
        <v>364</v>
      </c>
      <c r="B365" s="3" t="s">
        <v>12</v>
      </c>
      <c r="C365" s="4" t="n">
        <v>830</v>
      </c>
      <c r="D365" s="5" t="n">
        <v>46241</v>
      </c>
      <c r="E365" s="3" t="s">
        <v>124</v>
      </c>
      <c r="F365" s="2" t="str">
        <f aca="false">TEXT(D365,"mmmm")</f>
        <v>August</v>
      </c>
      <c r="G365" s="2" t="str">
        <f aca="false">INDEX('Product Summary'!$A$5:$A$24,MATCH(B365,'Product Summary'!$B$5:$B$24,0))</f>
        <v>PRD-1001</v>
      </c>
      <c r="H365" s="2" t="n">
        <v>5</v>
      </c>
      <c r="I365" s="6" t="n">
        <f aca="false">ROUND(J365*INDEX('Product Summary'!$E$5:$E$24,MATCH(B365,'Product Summary'!$B$5:$B$24,0)),2)</f>
        <v>1328</v>
      </c>
      <c r="J365" s="6" t="n">
        <f aca="false">C365*H365</f>
        <v>4150</v>
      </c>
    </row>
    <row r="366" customFormat="false" ht="15" hidden="false" customHeight="false" outlineLevel="0" collapsed="false">
      <c r="A366" s="2" t="n">
        <v>365</v>
      </c>
      <c r="B366" s="3" t="s">
        <v>10</v>
      </c>
      <c r="C366" s="4" t="n">
        <v>17785</v>
      </c>
      <c r="D366" s="5" t="n">
        <v>46242</v>
      </c>
      <c r="E366" s="3" t="s">
        <v>127</v>
      </c>
      <c r="F366" s="2" t="str">
        <f aca="false">TEXT(D366,"mmmm")</f>
        <v>August</v>
      </c>
      <c r="G366" s="2" t="str">
        <f aca="false">INDEX('Product Summary'!$A$5:$A$24,MATCH(B366,'Product Summary'!$B$5:$B$24,0))</f>
        <v>PRD-1011</v>
      </c>
      <c r="H366" s="2" t="n">
        <v>1</v>
      </c>
      <c r="I366" s="6" t="n">
        <f aca="false">ROUND(J366*INDEX('Product Summary'!$E$5:$E$24,MATCH(B366,'Product Summary'!$B$5:$B$24,0)),2)</f>
        <v>2667.75</v>
      </c>
      <c r="J366" s="6" t="n">
        <f aca="false">C366*H366</f>
        <v>17785</v>
      </c>
    </row>
    <row r="367" customFormat="false" ht="15" hidden="false" customHeight="false" outlineLevel="0" collapsed="false">
      <c r="A367" s="2" t="n">
        <v>366</v>
      </c>
      <c r="B367" s="3" t="s">
        <v>18</v>
      </c>
      <c r="C367" s="4" t="n">
        <v>1780</v>
      </c>
      <c r="D367" s="5" t="n">
        <v>46242</v>
      </c>
      <c r="E367" s="3" t="s">
        <v>71</v>
      </c>
      <c r="F367" s="2" t="str">
        <f aca="false">TEXT(D367,"mmmm")</f>
        <v>August</v>
      </c>
      <c r="G367" s="2" t="str">
        <f aca="false">INDEX('Product Summary'!$A$5:$A$24,MATCH(B367,'Product Summary'!$B$5:$B$24,0))</f>
        <v>PRD-1003</v>
      </c>
      <c r="H367" s="2" t="n">
        <v>3</v>
      </c>
      <c r="I367" s="6" t="n">
        <f aca="false">ROUND(J367*INDEX('Product Summary'!$E$5:$E$24,MATCH(B367,'Product Summary'!$B$5:$B$24,0)),2)</f>
        <v>1869</v>
      </c>
      <c r="J367" s="6" t="n">
        <f aca="false">C367*H367</f>
        <v>5340</v>
      </c>
    </row>
    <row r="368" customFormat="false" ht="15" hidden="false" customHeight="false" outlineLevel="0" collapsed="false">
      <c r="A368" s="2" t="n">
        <v>367</v>
      </c>
      <c r="B368" s="3" t="s">
        <v>22</v>
      </c>
      <c r="C368" s="4" t="n">
        <v>7445</v>
      </c>
      <c r="D368" s="5" t="n">
        <v>46242</v>
      </c>
      <c r="E368" s="3" t="s">
        <v>51</v>
      </c>
      <c r="F368" s="2" t="str">
        <f aca="false">TEXT(D368,"mmmm")</f>
        <v>August</v>
      </c>
      <c r="G368" s="2" t="str">
        <f aca="false">INDEX('Product Summary'!$A$5:$A$24,MATCH(B368,'Product Summary'!$B$5:$B$24,0))</f>
        <v>PRD-1008</v>
      </c>
      <c r="H368" s="2" t="n">
        <v>1</v>
      </c>
      <c r="I368" s="6" t="n">
        <f aca="false">ROUND(J368*INDEX('Product Summary'!$E$5:$E$24,MATCH(B368,'Product Summary'!$B$5:$B$24,0)),2)</f>
        <v>1786.8</v>
      </c>
      <c r="J368" s="6" t="n">
        <f aca="false">C368*H368</f>
        <v>7445</v>
      </c>
    </row>
    <row r="369" customFormat="false" ht="15" hidden="false" customHeight="false" outlineLevel="0" collapsed="false">
      <c r="A369" s="2" t="n">
        <v>368</v>
      </c>
      <c r="B369" s="3" t="s">
        <v>18</v>
      </c>
      <c r="C369" s="4" t="n">
        <v>1795</v>
      </c>
      <c r="D369" s="5" t="n">
        <v>46244</v>
      </c>
      <c r="E369" s="3" t="s">
        <v>19</v>
      </c>
      <c r="F369" s="2" t="str">
        <f aca="false">TEXT(D369,"mmmm")</f>
        <v>August</v>
      </c>
      <c r="G369" s="2" t="str">
        <f aca="false">INDEX('Product Summary'!$A$5:$A$24,MATCH(B369,'Product Summary'!$B$5:$B$24,0))</f>
        <v>PRD-1003</v>
      </c>
      <c r="H369" s="2" t="n">
        <v>4</v>
      </c>
      <c r="I369" s="6" t="n">
        <f aca="false">ROUND(J369*INDEX('Product Summary'!$E$5:$E$24,MATCH(B369,'Product Summary'!$B$5:$B$24,0)),2)</f>
        <v>2513</v>
      </c>
      <c r="J369" s="6" t="n">
        <f aca="false">C369*H369</f>
        <v>7180</v>
      </c>
    </row>
    <row r="370" customFormat="false" ht="15" hidden="false" customHeight="false" outlineLevel="0" collapsed="false">
      <c r="A370" s="2" t="n">
        <v>369</v>
      </c>
      <c r="B370" s="3" t="s">
        <v>18</v>
      </c>
      <c r="C370" s="4" t="n">
        <v>1750</v>
      </c>
      <c r="D370" s="5" t="n">
        <v>46245</v>
      </c>
      <c r="E370" s="3" t="s">
        <v>21</v>
      </c>
      <c r="F370" s="2" t="str">
        <f aca="false">TEXT(D370,"mmmm")</f>
        <v>August</v>
      </c>
      <c r="G370" s="2" t="str">
        <f aca="false">INDEX('Product Summary'!$A$5:$A$24,MATCH(B370,'Product Summary'!$B$5:$B$24,0))</f>
        <v>PRD-1003</v>
      </c>
      <c r="H370" s="2" t="n">
        <v>3</v>
      </c>
      <c r="I370" s="6" t="n">
        <f aca="false">ROUND(J370*INDEX('Product Summary'!$E$5:$E$24,MATCH(B370,'Product Summary'!$B$5:$B$24,0)),2)</f>
        <v>1837.5</v>
      </c>
      <c r="J370" s="6" t="n">
        <f aca="false">C370*H370</f>
        <v>5250</v>
      </c>
    </row>
    <row r="371" customFormat="false" ht="15" hidden="false" customHeight="false" outlineLevel="0" collapsed="false">
      <c r="A371" s="2" t="n">
        <v>370</v>
      </c>
      <c r="B371" s="3" t="s">
        <v>34</v>
      </c>
      <c r="C371" s="4" t="n">
        <v>1965</v>
      </c>
      <c r="D371" s="5" t="n">
        <v>46245</v>
      </c>
      <c r="E371" s="3" t="s">
        <v>114</v>
      </c>
      <c r="F371" s="2" t="str">
        <f aca="false">TEXT(D371,"mmmm")</f>
        <v>August</v>
      </c>
      <c r="G371" s="2" t="str">
        <f aca="false">INDEX('Product Summary'!$A$5:$A$24,MATCH(B371,'Product Summary'!$B$5:$B$24,0))</f>
        <v>PRD-1006</v>
      </c>
      <c r="H371" s="2" t="n">
        <v>6</v>
      </c>
      <c r="I371" s="6" t="n">
        <f aca="false">ROUND(J371*INDEX('Product Summary'!$E$5:$E$24,MATCH(B371,'Product Summary'!$B$5:$B$24,0)),2)</f>
        <v>3183.3</v>
      </c>
      <c r="J371" s="6" t="n">
        <f aca="false">C371*H371</f>
        <v>11790</v>
      </c>
    </row>
    <row r="372" customFormat="false" ht="15" hidden="false" customHeight="false" outlineLevel="0" collapsed="false">
      <c r="A372" s="2" t="n">
        <v>371</v>
      </c>
      <c r="B372" s="3" t="s">
        <v>22</v>
      </c>
      <c r="C372" s="4" t="n">
        <v>8370</v>
      </c>
      <c r="D372" s="5" t="n">
        <v>46245</v>
      </c>
      <c r="E372" s="3" t="s">
        <v>26</v>
      </c>
      <c r="F372" s="2" t="str">
        <f aca="false">TEXT(D372,"mmmm")</f>
        <v>August</v>
      </c>
      <c r="G372" s="2" t="str">
        <f aca="false">INDEX('Product Summary'!$A$5:$A$24,MATCH(B372,'Product Summary'!$B$5:$B$24,0))</f>
        <v>PRD-1008</v>
      </c>
      <c r="H372" s="2" t="n">
        <v>4</v>
      </c>
      <c r="I372" s="6" t="n">
        <f aca="false">ROUND(J372*INDEX('Product Summary'!$E$5:$E$24,MATCH(B372,'Product Summary'!$B$5:$B$24,0)),2)</f>
        <v>8035.2</v>
      </c>
      <c r="J372" s="6" t="n">
        <f aca="false">C372*H372</f>
        <v>33480</v>
      </c>
    </row>
    <row r="373" customFormat="false" ht="15" hidden="false" customHeight="false" outlineLevel="0" collapsed="false">
      <c r="A373" s="2" t="n">
        <v>372</v>
      </c>
      <c r="B373" s="3" t="s">
        <v>22</v>
      </c>
      <c r="C373" s="4" t="n">
        <v>8195</v>
      </c>
      <c r="D373" s="5" t="n">
        <v>46245</v>
      </c>
      <c r="E373" s="3" t="s">
        <v>137</v>
      </c>
      <c r="F373" s="2" t="str">
        <f aca="false">TEXT(D373,"mmmm")</f>
        <v>August</v>
      </c>
      <c r="G373" s="2" t="str">
        <f aca="false">INDEX('Product Summary'!$A$5:$A$24,MATCH(B373,'Product Summary'!$B$5:$B$24,0))</f>
        <v>PRD-1008</v>
      </c>
      <c r="H373" s="2" t="n">
        <v>4</v>
      </c>
      <c r="I373" s="6" t="n">
        <f aca="false">ROUND(J373*INDEX('Product Summary'!$E$5:$E$24,MATCH(B373,'Product Summary'!$B$5:$B$24,0)),2)</f>
        <v>7867.2</v>
      </c>
      <c r="J373" s="6" t="n">
        <f aca="false">C373*H373</f>
        <v>32780</v>
      </c>
    </row>
    <row r="374" customFormat="false" ht="15" hidden="false" customHeight="false" outlineLevel="0" collapsed="false">
      <c r="A374" s="2" t="n">
        <v>373</v>
      </c>
      <c r="B374" s="3" t="s">
        <v>25</v>
      </c>
      <c r="C374" s="4" t="n">
        <v>17710</v>
      </c>
      <c r="D374" s="5" t="n">
        <v>46246</v>
      </c>
      <c r="E374" s="3" t="s">
        <v>134</v>
      </c>
      <c r="F374" s="2" t="str">
        <f aca="false">TEXT(D374,"mmmm")</f>
        <v>August</v>
      </c>
      <c r="G374" s="2" t="str">
        <f aca="false">INDEX('Product Summary'!$A$5:$A$24,MATCH(B374,'Product Summary'!$B$5:$B$24,0))</f>
        <v>PRD-1016</v>
      </c>
      <c r="H374" s="2" t="n">
        <v>1</v>
      </c>
      <c r="I374" s="6" t="n">
        <f aca="false">ROUND(J374*INDEX('Product Summary'!$E$5:$E$24,MATCH(B374,'Product Summary'!$B$5:$B$24,0)),2)</f>
        <v>3364.9</v>
      </c>
      <c r="J374" s="6" t="n">
        <f aca="false">C374*H374</f>
        <v>17710</v>
      </c>
    </row>
    <row r="375" customFormat="false" ht="15" hidden="false" customHeight="false" outlineLevel="0" collapsed="false">
      <c r="A375" s="2" t="n">
        <v>374</v>
      </c>
      <c r="B375" s="3" t="s">
        <v>52</v>
      </c>
      <c r="C375" s="4" t="n">
        <v>3340</v>
      </c>
      <c r="D375" s="5" t="n">
        <v>46246</v>
      </c>
      <c r="E375" s="3" t="s">
        <v>96</v>
      </c>
      <c r="F375" s="2" t="str">
        <f aca="false">TEXT(D375,"mmmm")</f>
        <v>August</v>
      </c>
      <c r="G375" s="2" t="str">
        <f aca="false">INDEX('Product Summary'!$A$5:$A$24,MATCH(B375,'Product Summary'!$B$5:$B$24,0))</f>
        <v>PRD-1002</v>
      </c>
      <c r="H375" s="2" t="n">
        <v>3</v>
      </c>
      <c r="I375" s="6" t="n">
        <f aca="false">ROUND(J375*INDEX('Product Summary'!$E$5:$E$24,MATCH(B375,'Product Summary'!$B$5:$B$24,0)),2)</f>
        <v>2805.6</v>
      </c>
      <c r="J375" s="6" t="n">
        <f aca="false">C375*H375</f>
        <v>10020</v>
      </c>
    </row>
    <row r="376" customFormat="false" ht="15" hidden="false" customHeight="false" outlineLevel="0" collapsed="false">
      <c r="A376" s="2" t="n">
        <v>375</v>
      </c>
      <c r="B376" s="3" t="s">
        <v>52</v>
      </c>
      <c r="C376" s="4" t="n">
        <v>3660</v>
      </c>
      <c r="D376" s="5" t="n">
        <v>46247</v>
      </c>
      <c r="E376" s="3" t="s">
        <v>70</v>
      </c>
      <c r="F376" s="2" t="str">
        <f aca="false">TEXT(D376,"mmmm")</f>
        <v>August</v>
      </c>
      <c r="G376" s="2" t="str">
        <f aca="false">INDEX('Product Summary'!$A$5:$A$24,MATCH(B376,'Product Summary'!$B$5:$B$24,0))</f>
        <v>PRD-1002</v>
      </c>
      <c r="H376" s="2" t="n">
        <v>6</v>
      </c>
      <c r="I376" s="6" t="n">
        <f aca="false">ROUND(J376*INDEX('Product Summary'!$E$5:$E$24,MATCH(B376,'Product Summary'!$B$5:$B$24,0)),2)</f>
        <v>6148.8</v>
      </c>
      <c r="J376" s="6" t="n">
        <f aca="false">C376*H376</f>
        <v>21960</v>
      </c>
    </row>
    <row r="377" customFormat="false" ht="15" hidden="false" customHeight="false" outlineLevel="0" collapsed="false">
      <c r="A377" s="2" t="n">
        <v>376</v>
      </c>
      <c r="B377" s="3" t="s">
        <v>12</v>
      </c>
      <c r="C377" s="4" t="n">
        <v>785</v>
      </c>
      <c r="D377" s="5" t="n">
        <v>46247</v>
      </c>
      <c r="E377" s="3" t="s">
        <v>91</v>
      </c>
      <c r="F377" s="2" t="str">
        <f aca="false">TEXT(D377,"mmmm")</f>
        <v>August</v>
      </c>
      <c r="G377" s="2" t="str">
        <f aca="false">INDEX('Product Summary'!$A$5:$A$24,MATCH(B377,'Product Summary'!$B$5:$B$24,0))</f>
        <v>PRD-1001</v>
      </c>
      <c r="H377" s="2" t="n">
        <v>5</v>
      </c>
      <c r="I377" s="6" t="n">
        <f aca="false">ROUND(J377*INDEX('Product Summary'!$E$5:$E$24,MATCH(B377,'Product Summary'!$B$5:$B$24,0)),2)</f>
        <v>1256</v>
      </c>
      <c r="J377" s="6" t="n">
        <f aca="false">C377*H377</f>
        <v>3925</v>
      </c>
    </row>
    <row r="378" customFormat="false" ht="15" hidden="false" customHeight="false" outlineLevel="0" collapsed="false">
      <c r="A378" s="2" t="n">
        <v>377</v>
      </c>
      <c r="B378" s="3" t="s">
        <v>34</v>
      </c>
      <c r="C378" s="4" t="n">
        <v>1900</v>
      </c>
      <c r="D378" s="5" t="n">
        <v>46247</v>
      </c>
      <c r="E378" s="3" t="s">
        <v>13</v>
      </c>
      <c r="F378" s="2" t="str">
        <f aca="false">TEXT(D378,"mmmm")</f>
        <v>August</v>
      </c>
      <c r="G378" s="2" t="str">
        <f aca="false">INDEX('Product Summary'!$A$5:$A$24,MATCH(B378,'Product Summary'!$B$5:$B$24,0))</f>
        <v>PRD-1006</v>
      </c>
      <c r="H378" s="2" t="n">
        <v>6</v>
      </c>
      <c r="I378" s="6" t="n">
        <f aca="false">ROUND(J378*INDEX('Product Summary'!$E$5:$E$24,MATCH(B378,'Product Summary'!$B$5:$B$24,0)),2)</f>
        <v>3078</v>
      </c>
      <c r="J378" s="6" t="n">
        <f aca="false">C378*H378</f>
        <v>11400</v>
      </c>
    </row>
    <row r="379" customFormat="false" ht="15" hidden="false" customHeight="false" outlineLevel="0" collapsed="false">
      <c r="A379" s="2" t="n">
        <v>378</v>
      </c>
      <c r="B379" s="3" t="s">
        <v>10</v>
      </c>
      <c r="C379" s="4" t="n">
        <v>16430</v>
      </c>
      <c r="D379" s="5" t="n">
        <v>46247</v>
      </c>
      <c r="E379" s="3" t="s">
        <v>41</v>
      </c>
      <c r="F379" s="2" t="str">
        <f aca="false">TEXT(D379,"mmmm")</f>
        <v>August</v>
      </c>
      <c r="G379" s="2" t="str">
        <f aca="false">INDEX('Product Summary'!$A$5:$A$24,MATCH(B379,'Product Summary'!$B$5:$B$24,0))</f>
        <v>PRD-1011</v>
      </c>
      <c r="H379" s="2" t="n">
        <v>1</v>
      </c>
      <c r="I379" s="6" t="n">
        <f aca="false">ROUND(J379*INDEX('Product Summary'!$E$5:$E$24,MATCH(B379,'Product Summary'!$B$5:$B$24,0)),2)</f>
        <v>2464.5</v>
      </c>
      <c r="J379" s="6" t="n">
        <f aca="false">C379*H379</f>
        <v>16430</v>
      </c>
    </row>
    <row r="380" customFormat="false" ht="15" hidden="false" customHeight="false" outlineLevel="0" collapsed="false">
      <c r="A380" s="2" t="n">
        <v>379</v>
      </c>
      <c r="B380" s="3" t="s">
        <v>12</v>
      </c>
      <c r="C380" s="4" t="n">
        <v>820</v>
      </c>
      <c r="D380" s="5" t="n">
        <v>46248</v>
      </c>
      <c r="E380" s="3" t="s">
        <v>95</v>
      </c>
      <c r="F380" s="2" t="str">
        <f aca="false">TEXT(D380,"mmmm")</f>
        <v>August</v>
      </c>
      <c r="G380" s="2" t="str">
        <f aca="false">INDEX('Product Summary'!$A$5:$A$24,MATCH(B380,'Product Summary'!$B$5:$B$24,0))</f>
        <v>PRD-1001</v>
      </c>
      <c r="H380" s="2" t="n">
        <v>1</v>
      </c>
      <c r="I380" s="6" t="n">
        <f aca="false">ROUND(J380*INDEX('Product Summary'!$E$5:$E$24,MATCH(B380,'Product Summary'!$B$5:$B$24,0)),2)</f>
        <v>262.4</v>
      </c>
      <c r="J380" s="6" t="n">
        <f aca="false">C380*H380</f>
        <v>820</v>
      </c>
    </row>
    <row r="381" customFormat="false" ht="15" hidden="false" customHeight="false" outlineLevel="0" collapsed="false">
      <c r="A381" s="2" t="n">
        <v>380</v>
      </c>
      <c r="B381" s="3" t="s">
        <v>31</v>
      </c>
      <c r="C381" s="4" t="n">
        <v>23960</v>
      </c>
      <c r="D381" s="5" t="n">
        <v>46249</v>
      </c>
      <c r="E381" s="3" t="s">
        <v>39</v>
      </c>
      <c r="F381" s="2" t="str">
        <f aca="false">TEXT(D381,"mmmm")</f>
        <v>August</v>
      </c>
      <c r="G381" s="2" t="str">
        <f aca="false">INDEX('Product Summary'!$A$5:$A$24,MATCH(B381,'Product Summary'!$B$5:$B$24,0))</f>
        <v>PRD-1020</v>
      </c>
      <c r="H381" s="2" t="n">
        <v>2</v>
      </c>
      <c r="I381" s="6" t="n">
        <f aca="false">ROUND(J381*INDEX('Product Summary'!$E$5:$E$24,MATCH(B381,'Product Summary'!$B$5:$B$24,0)),2)</f>
        <v>4792</v>
      </c>
      <c r="J381" s="6" t="n">
        <f aca="false">C381*H381</f>
        <v>47920</v>
      </c>
    </row>
    <row r="382" customFormat="false" ht="15" hidden="false" customHeight="false" outlineLevel="0" collapsed="false">
      <c r="A382" s="2" t="n">
        <v>381</v>
      </c>
      <c r="B382" s="3" t="s">
        <v>12</v>
      </c>
      <c r="C382" s="4" t="n">
        <v>815</v>
      </c>
      <c r="D382" s="5" t="n">
        <v>46249</v>
      </c>
      <c r="E382" s="3" t="s">
        <v>117</v>
      </c>
      <c r="F382" s="2" t="str">
        <f aca="false">TEXT(D382,"mmmm")</f>
        <v>August</v>
      </c>
      <c r="G382" s="2" t="str">
        <f aca="false">INDEX('Product Summary'!$A$5:$A$24,MATCH(B382,'Product Summary'!$B$5:$B$24,0))</f>
        <v>PRD-1001</v>
      </c>
      <c r="H382" s="2" t="n">
        <v>2</v>
      </c>
      <c r="I382" s="6" t="n">
        <f aca="false">ROUND(J382*INDEX('Product Summary'!$E$5:$E$24,MATCH(B382,'Product Summary'!$B$5:$B$24,0)),2)</f>
        <v>521.6</v>
      </c>
      <c r="J382" s="6" t="n">
        <f aca="false">C382*H382</f>
        <v>1630</v>
      </c>
    </row>
    <row r="383" customFormat="false" ht="15" hidden="false" customHeight="false" outlineLevel="0" collapsed="false">
      <c r="A383" s="2" t="n">
        <v>382</v>
      </c>
      <c r="B383" s="3" t="s">
        <v>64</v>
      </c>
      <c r="C383" s="4" t="n">
        <v>12035</v>
      </c>
      <c r="D383" s="5" t="n">
        <v>46249</v>
      </c>
      <c r="E383" s="3" t="s">
        <v>107</v>
      </c>
      <c r="F383" s="2" t="str">
        <f aca="false">TEXT(D383,"mmmm")</f>
        <v>August</v>
      </c>
      <c r="G383" s="2" t="str">
        <f aca="false">INDEX('Product Summary'!$A$5:$A$24,MATCH(B383,'Product Summary'!$B$5:$B$24,0))</f>
        <v>PRD-1014</v>
      </c>
      <c r="H383" s="2" t="n">
        <v>3</v>
      </c>
      <c r="I383" s="6" t="n">
        <f aca="false">ROUND(J383*INDEX('Product Summary'!$E$5:$E$24,MATCH(B383,'Product Summary'!$B$5:$B$24,0)),2)</f>
        <v>5776.8</v>
      </c>
      <c r="J383" s="6" t="n">
        <f aca="false">C383*H383</f>
        <v>36105</v>
      </c>
    </row>
    <row r="384" customFormat="false" ht="15" hidden="false" customHeight="false" outlineLevel="0" collapsed="false">
      <c r="A384" s="2" t="n">
        <v>383</v>
      </c>
      <c r="B384" s="3" t="s">
        <v>48</v>
      </c>
      <c r="C384" s="4" t="n">
        <v>4160</v>
      </c>
      <c r="D384" s="5" t="n">
        <v>46251</v>
      </c>
      <c r="E384" s="3" t="s">
        <v>116</v>
      </c>
      <c r="F384" s="2" t="str">
        <f aca="false">TEXT(D384,"mmmm")</f>
        <v>August</v>
      </c>
      <c r="G384" s="2" t="str">
        <f aca="false">INDEX('Product Summary'!$A$5:$A$24,MATCH(B384,'Product Summary'!$B$5:$B$24,0))</f>
        <v>PRD-1013</v>
      </c>
      <c r="H384" s="2" t="n">
        <v>2</v>
      </c>
      <c r="I384" s="6" t="n">
        <f aca="false">ROUND(J384*INDEX('Product Summary'!$E$5:$E$24,MATCH(B384,'Product Summary'!$B$5:$B$24,0)),2)</f>
        <v>1996.8</v>
      </c>
      <c r="J384" s="6" t="n">
        <f aca="false">C384*H384</f>
        <v>8320</v>
      </c>
    </row>
    <row r="385" customFormat="false" ht="15" hidden="false" customHeight="false" outlineLevel="0" collapsed="false">
      <c r="A385" s="2" t="n">
        <v>384</v>
      </c>
      <c r="B385" s="3" t="s">
        <v>52</v>
      </c>
      <c r="C385" s="4" t="n">
        <v>3360</v>
      </c>
      <c r="D385" s="5" t="n">
        <v>46251</v>
      </c>
      <c r="E385" s="3" t="s">
        <v>49</v>
      </c>
      <c r="F385" s="2" t="str">
        <f aca="false">TEXT(D385,"mmmm")</f>
        <v>August</v>
      </c>
      <c r="G385" s="2" t="str">
        <f aca="false">INDEX('Product Summary'!$A$5:$A$24,MATCH(B385,'Product Summary'!$B$5:$B$24,0))</f>
        <v>PRD-1002</v>
      </c>
      <c r="H385" s="2" t="n">
        <v>4</v>
      </c>
      <c r="I385" s="6" t="n">
        <f aca="false">ROUND(J385*INDEX('Product Summary'!$E$5:$E$24,MATCH(B385,'Product Summary'!$B$5:$B$24,0)),2)</f>
        <v>3763.2</v>
      </c>
      <c r="J385" s="6" t="n">
        <f aca="false">C385*H385</f>
        <v>13440</v>
      </c>
    </row>
    <row r="386" customFormat="false" ht="15" hidden="false" customHeight="false" outlineLevel="0" collapsed="false">
      <c r="A386" s="2" t="n">
        <v>385</v>
      </c>
      <c r="B386" s="3" t="s">
        <v>52</v>
      </c>
      <c r="C386" s="4" t="n">
        <v>3665</v>
      </c>
      <c r="D386" s="5" t="n">
        <v>46252</v>
      </c>
      <c r="E386" s="3" t="s">
        <v>68</v>
      </c>
      <c r="F386" s="2" t="str">
        <f aca="false">TEXT(D386,"mmmm")</f>
        <v>August</v>
      </c>
      <c r="G386" s="2" t="str">
        <f aca="false">INDEX('Product Summary'!$A$5:$A$24,MATCH(B386,'Product Summary'!$B$5:$B$24,0))</f>
        <v>PRD-1002</v>
      </c>
      <c r="H386" s="2" t="n">
        <v>2</v>
      </c>
      <c r="I386" s="6" t="n">
        <f aca="false">ROUND(J386*INDEX('Product Summary'!$E$5:$E$24,MATCH(B386,'Product Summary'!$B$5:$B$24,0)),2)</f>
        <v>2052.4</v>
      </c>
      <c r="J386" s="6" t="n">
        <f aca="false">C386*H386</f>
        <v>7330</v>
      </c>
    </row>
    <row r="387" customFormat="false" ht="15" hidden="false" customHeight="false" outlineLevel="0" collapsed="false">
      <c r="A387" s="2" t="n">
        <v>386</v>
      </c>
      <c r="B387" s="3" t="s">
        <v>34</v>
      </c>
      <c r="C387" s="4" t="n">
        <v>1990</v>
      </c>
      <c r="D387" s="5" t="n">
        <v>46252</v>
      </c>
      <c r="E387" s="3" t="s">
        <v>127</v>
      </c>
      <c r="F387" s="2" t="str">
        <f aca="false">TEXT(D387,"mmmm")</f>
        <v>August</v>
      </c>
      <c r="G387" s="2" t="str">
        <f aca="false">INDEX('Product Summary'!$A$5:$A$24,MATCH(B387,'Product Summary'!$B$5:$B$24,0))</f>
        <v>PRD-1006</v>
      </c>
      <c r="H387" s="2" t="n">
        <v>8</v>
      </c>
      <c r="I387" s="6" t="n">
        <f aca="false">ROUND(J387*INDEX('Product Summary'!$E$5:$E$24,MATCH(B387,'Product Summary'!$B$5:$B$24,0)),2)</f>
        <v>4298.4</v>
      </c>
      <c r="J387" s="6" t="n">
        <f aca="false">C387*H387</f>
        <v>15920</v>
      </c>
    </row>
    <row r="388" customFormat="false" ht="15" hidden="false" customHeight="false" outlineLevel="0" collapsed="false">
      <c r="A388" s="2" t="n">
        <v>387</v>
      </c>
      <c r="B388" s="3" t="s">
        <v>37</v>
      </c>
      <c r="C388" s="4" t="n">
        <v>2905</v>
      </c>
      <c r="D388" s="5" t="n">
        <v>46253</v>
      </c>
      <c r="E388" s="3" t="s">
        <v>95</v>
      </c>
      <c r="F388" s="2" t="str">
        <f aca="false">TEXT(D388,"mmmm")</f>
        <v>August</v>
      </c>
      <c r="G388" s="2" t="str">
        <f aca="false">INDEX('Product Summary'!$A$5:$A$24,MATCH(B388,'Product Summary'!$B$5:$B$24,0))</f>
        <v>PRD-1007</v>
      </c>
      <c r="H388" s="2" t="n">
        <v>4</v>
      </c>
      <c r="I388" s="6" t="n">
        <f aca="false">ROUND(J388*INDEX('Product Summary'!$E$5:$E$24,MATCH(B388,'Product Summary'!$B$5:$B$24,0)),2)</f>
        <v>3369.8</v>
      </c>
      <c r="J388" s="6" t="n">
        <f aca="false">C388*H388</f>
        <v>11620</v>
      </c>
    </row>
    <row r="389" customFormat="false" ht="15" hidden="false" customHeight="false" outlineLevel="0" collapsed="false">
      <c r="A389" s="2" t="n">
        <v>388</v>
      </c>
      <c r="B389" s="3" t="s">
        <v>45</v>
      </c>
      <c r="C389" s="4" t="n">
        <v>2585</v>
      </c>
      <c r="D389" s="5" t="n">
        <v>46253</v>
      </c>
      <c r="E389" s="3" t="s">
        <v>79</v>
      </c>
      <c r="F389" s="2" t="str">
        <f aca="false">TEXT(D389,"mmmm")</f>
        <v>August</v>
      </c>
      <c r="G389" s="2" t="str">
        <f aca="false">INDEX('Product Summary'!$A$5:$A$24,MATCH(B389,'Product Summary'!$B$5:$B$24,0))</f>
        <v>PRD-1010</v>
      </c>
      <c r="H389" s="2" t="n">
        <v>2</v>
      </c>
      <c r="I389" s="6" t="n">
        <f aca="false">ROUND(J389*INDEX('Product Summary'!$E$5:$E$24,MATCH(B389,'Product Summary'!$B$5:$B$24,0)),2)</f>
        <v>1292.5</v>
      </c>
      <c r="J389" s="6" t="n">
        <f aca="false">C389*H389</f>
        <v>5170</v>
      </c>
    </row>
    <row r="390" customFormat="false" ht="15" hidden="false" customHeight="false" outlineLevel="0" collapsed="false">
      <c r="A390" s="2" t="n">
        <v>389</v>
      </c>
      <c r="B390" s="3" t="s">
        <v>42</v>
      </c>
      <c r="C390" s="4" t="n">
        <v>1250</v>
      </c>
      <c r="D390" s="5" t="n">
        <v>46254</v>
      </c>
      <c r="E390" s="3" t="s">
        <v>119</v>
      </c>
      <c r="F390" s="2" t="str">
        <f aca="false">TEXT(D390,"mmmm")</f>
        <v>August</v>
      </c>
      <c r="G390" s="2" t="str">
        <f aca="false">INDEX('Product Summary'!$A$5:$A$24,MATCH(B390,'Product Summary'!$B$5:$B$24,0))</f>
        <v>PRD-1017</v>
      </c>
      <c r="H390" s="2" t="n">
        <v>3</v>
      </c>
      <c r="I390" s="6" t="n">
        <f aca="false">ROUND(J390*INDEX('Product Summary'!$E$5:$E$24,MATCH(B390,'Product Summary'!$B$5:$B$24,0)),2)</f>
        <v>1425</v>
      </c>
      <c r="J390" s="6" t="n">
        <f aca="false">C390*H390</f>
        <v>3750</v>
      </c>
    </row>
    <row r="391" customFormat="false" ht="15" hidden="false" customHeight="false" outlineLevel="0" collapsed="false">
      <c r="A391" s="2" t="n">
        <v>390</v>
      </c>
      <c r="B391" s="3" t="s">
        <v>20</v>
      </c>
      <c r="C391" s="4" t="n">
        <v>19640</v>
      </c>
      <c r="D391" s="5" t="n">
        <v>46254</v>
      </c>
      <c r="E391" s="3" t="s">
        <v>118</v>
      </c>
      <c r="F391" s="2" t="str">
        <f aca="false">TEXT(D391,"mmmm")</f>
        <v>August</v>
      </c>
      <c r="G391" s="2" t="str">
        <f aca="false">INDEX('Product Summary'!$A$5:$A$24,MATCH(B391,'Product Summary'!$B$5:$B$24,0))</f>
        <v>PRD-1019</v>
      </c>
      <c r="H391" s="2" t="n">
        <v>2</v>
      </c>
      <c r="I391" s="6" t="n">
        <f aca="false">ROUND(J391*INDEX('Product Summary'!$E$5:$E$24,MATCH(B391,'Product Summary'!$B$5:$B$24,0)),2)</f>
        <v>4713.6</v>
      </c>
      <c r="J391" s="6" t="n">
        <f aca="false">C391*H391</f>
        <v>39280</v>
      </c>
    </row>
    <row r="392" customFormat="false" ht="15" hidden="false" customHeight="false" outlineLevel="0" collapsed="false">
      <c r="A392" s="2" t="n">
        <v>391</v>
      </c>
      <c r="B392" s="3" t="s">
        <v>29</v>
      </c>
      <c r="C392" s="4" t="n">
        <v>10335</v>
      </c>
      <c r="D392" s="5" t="n">
        <v>46257</v>
      </c>
      <c r="E392" s="3" t="s">
        <v>95</v>
      </c>
      <c r="F392" s="2" t="str">
        <f aca="false">TEXT(D392,"mmmm")</f>
        <v>August</v>
      </c>
      <c r="G392" s="2" t="str">
        <f aca="false">INDEX('Product Summary'!$A$5:$A$24,MATCH(B392,'Product Summary'!$B$5:$B$24,0))</f>
        <v>PRD-1018</v>
      </c>
      <c r="H392" s="2" t="n">
        <v>3</v>
      </c>
      <c r="I392" s="6" t="n">
        <f aca="false">ROUND(J392*INDEX('Product Summary'!$E$5:$E$24,MATCH(B392,'Product Summary'!$B$5:$B$24,0)),2)</f>
        <v>6511.05</v>
      </c>
      <c r="J392" s="6" t="n">
        <f aca="false">C392*H392</f>
        <v>31005</v>
      </c>
    </row>
    <row r="393" customFormat="false" ht="15" hidden="false" customHeight="false" outlineLevel="0" collapsed="false">
      <c r="A393" s="2" t="n">
        <v>392</v>
      </c>
      <c r="B393" s="3" t="s">
        <v>14</v>
      </c>
      <c r="C393" s="4" t="n">
        <v>2875</v>
      </c>
      <c r="D393" s="5" t="n">
        <v>46257</v>
      </c>
      <c r="E393" s="3" t="s">
        <v>137</v>
      </c>
      <c r="F393" s="2" t="str">
        <f aca="false">TEXT(D393,"mmmm")</f>
        <v>August</v>
      </c>
      <c r="G393" s="2" t="str">
        <f aca="false">INDEX('Product Summary'!$A$5:$A$24,MATCH(B393,'Product Summary'!$B$5:$B$24,0))</f>
        <v>PRD-1005</v>
      </c>
      <c r="H393" s="2" t="n">
        <v>3</v>
      </c>
      <c r="I393" s="6" t="n">
        <f aca="false">ROUND(J393*INDEX('Product Summary'!$E$5:$E$24,MATCH(B393,'Product Summary'!$B$5:$B$24,0)),2)</f>
        <v>2242.5</v>
      </c>
      <c r="J393" s="6" t="n">
        <f aca="false">C393*H393</f>
        <v>8625</v>
      </c>
    </row>
    <row r="394" customFormat="false" ht="15" hidden="false" customHeight="false" outlineLevel="0" collapsed="false">
      <c r="A394" s="2" t="n">
        <v>393</v>
      </c>
      <c r="B394" s="3" t="s">
        <v>12</v>
      </c>
      <c r="C394" s="4" t="n">
        <v>755</v>
      </c>
      <c r="D394" s="5" t="n">
        <v>46257</v>
      </c>
      <c r="E394" s="3" t="s">
        <v>36</v>
      </c>
      <c r="F394" s="2" t="str">
        <f aca="false">TEXT(D394,"mmmm")</f>
        <v>August</v>
      </c>
      <c r="G394" s="2" t="str">
        <f aca="false">INDEX('Product Summary'!$A$5:$A$24,MATCH(B394,'Product Summary'!$B$5:$B$24,0))</f>
        <v>PRD-1001</v>
      </c>
      <c r="H394" s="2" t="n">
        <v>3</v>
      </c>
      <c r="I394" s="6" t="n">
        <f aca="false">ROUND(J394*INDEX('Product Summary'!$E$5:$E$24,MATCH(B394,'Product Summary'!$B$5:$B$24,0)),2)</f>
        <v>724.8</v>
      </c>
      <c r="J394" s="6" t="n">
        <f aca="false">C394*H394</f>
        <v>2265</v>
      </c>
    </row>
    <row r="395" customFormat="false" ht="15" hidden="false" customHeight="false" outlineLevel="0" collapsed="false">
      <c r="A395" s="2" t="n">
        <v>394</v>
      </c>
      <c r="B395" s="3" t="s">
        <v>14</v>
      </c>
      <c r="C395" s="4" t="n">
        <v>2830</v>
      </c>
      <c r="D395" s="5" t="n">
        <v>46258</v>
      </c>
      <c r="E395" s="3" t="s">
        <v>19</v>
      </c>
      <c r="F395" s="2" t="str">
        <f aca="false">TEXT(D395,"mmmm")</f>
        <v>August</v>
      </c>
      <c r="G395" s="2" t="str">
        <f aca="false">INDEX('Product Summary'!$A$5:$A$24,MATCH(B395,'Product Summary'!$B$5:$B$24,0))</f>
        <v>PRD-1005</v>
      </c>
      <c r="H395" s="2" t="n">
        <v>2</v>
      </c>
      <c r="I395" s="6" t="n">
        <f aca="false">ROUND(J395*INDEX('Product Summary'!$E$5:$E$24,MATCH(B395,'Product Summary'!$B$5:$B$24,0)),2)</f>
        <v>1471.6</v>
      </c>
      <c r="J395" s="6" t="n">
        <f aca="false">C395*H395</f>
        <v>5660</v>
      </c>
    </row>
    <row r="396" customFormat="false" ht="15" hidden="false" customHeight="false" outlineLevel="0" collapsed="false">
      <c r="A396" s="2" t="n">
        <v>395</v>
      </c>
      <c r="B396" s="3" t="s">
        <v>12</v>
      </c>
      <c r="C396" s="4" t="n">
        <v>765</v>
      </c>
      <c r="D396" s="5" t="n">
        <v>46259</v>
      </c>
      <c r="E396" s="3" t="s">
        <v>91</v>
      </c>
      <c r="F396" s="2" t="str">
        <f aca="false">TEXT(D396,"mmmm")</f>
        <v>August</v>
      </c>
      <c r="G396" s="2" t="str">
        <f aca="false">INDEX('Product Summary'!$A$5:$A$24,MATCH(B396,'Product Summary'!$B$5:$B$24,0))</f>
        <v>PRD-1001</v>
      </c>
      <c r="H396" s="2" t="n">
        <v>4</v>
      </c>
      <c r="I396" s="6" t="n">
        <f aca="false">ROUND(J396*INDEX('Product Summary'!$E$5:$E$24,MATCH(B396,'Product Summary'!$B$5:$B$24,0)),2)</f>
        <v>979.2</v>
      </c>
      <c r="J396" s="6" t="n">
        <f aca="false">C396*H396</f>
        <v>3060</v>
      </c>
    </row>
    <row r="397" customFormat="false" ht="15" hidden="false" customHeight="false" outlineLevel="0" collapsed="false">
      <c r="A397" s="2" t="n">
        <v>396</v>
      </c>
      <c r="B397" s="3" t="s">
        <v>18</v>
      </c>
      <c r="C397" s="4" t="n">
        <v>1750</v>
      </c>
      <c r="D397" s="5" t="n">
        <v>46259</v>
      </c>
      <c r="E397" s="3" t="s">
        <v>15</v>
      </c>
      <c r="F397" s="2" t="str">
        <f aca="false">TEXT(D397,"mmmm")</f>
        <v>August</v>
      </c>
      <c r="G397" s="2" t="str">
        <f aca="false">INDEX('Product Summary'!$A$5:$A$24,MATCH(B397,'Product Summary'!$B$5:$B$24,0))</f>
        <v>PRD-1003</v>
      </c>
      <c r="H397" s="2" t="n">
        <v>5</v>
      </c>
      <c r="I397" s="6" t="n">
        <f aca="false">ROUND(J397*INDEX('Product Summary'!$E$5:$E$24,MATCH(B397,'Product Summary'!$B$5:$B$24,0)),2)</f>
        <v>3062.5</v>
      </c>
      <c r="J397" s="6" t="n">
        <f aca="false">C397*H397</f>
        <v>8750</v>
      </c>
    </row>
    <row r="398" customFormat="false" ht="15" hidden="false" customHeight="false" outlineLevel="0" collapsed="false">
      <c r="A398" s="2" t="n">
        <v>397</v>
      </c>
      <c r="B398" s="3" t="s">
        <v>10</v>
      </c>
      <c r="C398" s="4" t="n">
        <v>17225</v>
      </c>
      <c r="D398" s="5" t="n">
        <v>46260</v>
      </c>
      <c r="E398" s="3" t="s">
        <v>51</v>
      </c>
      <c r="F398" s="2" t="str">
        <f aca="false">TEXT(D398,"mmmm")</f>
        <v>August</v>
      </c>
      <c r="G398" s="2" t="str">
        <f aca="false">INDEX('Product Summary'!$A$5:$A$24,MATCH(B398,'Product Summary'!$B$5:$B$24,0))</f>
        <v>PRD-1011</v>
      </c>
      <c r="H398" s="2" t="n">
        <v>1</v>
      </c>
      <c r="I398" s="6" t="n">
        <f aca="false">ROUND(J398*INDEX('Product Summary'!$E$5:$E$24,MATCH(B398,'Product Summary'!$B$5:$B$24,0)),2)</f>
        <v>2583.75</v>
      </c>
      <c r="J398" s="6" t="n">
        <f aca="false">C398*H398</f>
        <v>17225</v>
      </c>
    </row>
    <row r="399" customFormat="false" ht="15" hidden="false" customHeight="false" outlineLevel="0" collapsed="false">
      <c r="A399" s="2" t="n">
        <v>398</v>
      </c>
      <c r="B399" s="3" t="s">
        <v>37</v>
      </c>
      <c r="C399" s="4" t="n">
        <v>2975</v>
      </c>
      <c r="D399" s="5" t="n">
        <v>46260</v>
      </c>
      <c r="E399" s="3" t="s">
        <v>90</v>
      </c>
      <c r="F399" s="2" t="str">
        <f aca="false">TEXT(D399,"mmmm")</f>
        <v>August</v>
      </c>
      <c r="G399" s="2" t="str">
        <f aca="false">INDEX('Product Summary'!$A$5:$A$24,MATCH(B399,'Product Summary'!$B$5:$B$24,0))</f>
        <v>PRD-1007</v>
      </c>
      <c r="H399" s="2" t="n">
        <v>4</v>
      </c>
      <c r="I399" s="6" t="n">
        <f aca="false">ROUND(J399*INDEX('Product Summary'!$E$5:$E$24,MATCH(B399,'Product Summary'!$B$5:$B$24,0)),2)</f>
        <v>3451</v>
      </c>
      <c r="J399" s="6" t="n">
        <f aca="false">C399*H399</f>
        <v>11900</v>
      </c>
    </row>
    <row r="400" customFormat="false" ht="15" hidden="false" customHeight="false" outlineLevel="0" collapsed="false">
      <c r="A400" s="2" t="n">
        <v>399</v>
      </c>
      <c r="B400" s="3" t="s">
        <v>12</v>
      </c>
      <c r="C400" s="4" t="n">
        <v>770</v>
      </c>
      <c r="D400" s="5" t="n">
        <v>46261</v>
      </c>
      <c r="E400" s="3" t="s">
        <v>13</v>
      </c>
      <c r="F400" s="2" t="str">
        <f aca="false">TEXT(D400,"mmmm")</f>
        <v>August</v>
      </c>
      <c r="G400" s="2" t="str">
        <f aca="false">INDEX('Product Summary'!$A$5:$A$24,MATCH(B400,'Product Summary'!$B$5:$B$24,0))</f>
        <v>PRD-1001</v>
      </c>
      <c r="H400" s="2" t="n">
        <v>7</v>
      </c>
      <c r="I400" s="6" t="n">
        <f aca="false">ROUND(J400*INDEX('Product Summary'!$E$5:$E$24,MATCH(B400,'Product Summary'!$B$5:$B$24,0)),2)</f>
        <v>1724.8</v>
      </c>
      <c r="J400" s="6" t="n">
        <f aca="false">C400*H400</f>
        <v>5390</v>
      </c>
    </row>
    <row r="401" customFormat="false" ht="15" hidden="false" customHeight="false" outlineLevel="0" collapsed="false">
      <c r="A401" s="2" t="n">
        <v>400</v>
      </c>
      <c r="B401" s="3" t="s">
        <v>64</v>
      </c>
      <c r="C401" s="4" t="n">
        <v>13605</v>
      </c>
      <c r="D401" s="5" t="n">
        <v>46261</v>
      </c>
      <c r="E401" s="3" t="s">
        <v>85</v>
      </c>
      <c r="F401" s="2" t="str">
        <f aca="false">TEXT(D401,"mmmm")</f>
        <v>August</v>
      </c>
      <c r="G401" s="2" t="str">
        <f aca="false">INDEX('Product Summary'!$A$5:$A$24,MATCH(B401,'Product Summary'!$B$5:$B$24,0))</f>
        <v>PRD-1014</v>
      </c>
      <c r="H401" s="2" t="n">
        <v>3</v>
      </c>
      <c r="I401" s="6" t="n">
        <f aca="false">ROUND(J401*INDEX('Product Summary'!$E$5:$E$24,MATCH(B401,'Product Summary'!$B$5:$B$24,0)),2)</f>
        <v>6530.4</v>
      </c>
      <c r="J401" s="6" t="n">
        <f aca="false">C401*H401</f>
        <v>40815</v>
      </c>
    </row>
    <row r="402" customFormat="false" ht="15" hidden="false" customHeight="false" outlineLevel="0" collapsed="false">
      <c r="A402" s="2" t="n">
        <v>401</v>
      </c>
      <c r="B402" s="3" t="s">
        <v>27</v>
      </c>
      <c r="C402" s="4" t="n">
        <v>2390</v>
      </c>
      <c r="D402" s="5" t="n">
        <v>46262</v>
      </c>
      <c r="E402" s="3" t="s">
        <v>61</v>
      </c>
      <c r="F402" s="2" t="str">
        <f aca="false">TEXT(D402,"mmmm")</f>
        <v>August</v>
      </c>
      <c r="G402" s="2" t="str">
        <f aca="false">INDEX('Product Summary'!$A$5:$A$24,MATCH(B402,'Product Summary'!$B$5:$B$24,0))</f>
        <v>PRD-1004</v>
      </c>
      <c r="H402" s="2" t="n">
        <v>4</v>
      </c>
      <c r="I402" s="6" t="n">
        <f aca="false">ROUND(J402*INDEX('Product Summary'!$E$5:$E$24,MATCH(B402,'Product Summary'!$B$5:$B$24,0)),2)</f>
        <v>2868</v>
      </c>
      <c r="J402" s="6" t="n">
        <f aca="false">C402*H402</f>
        <v>9560</v>
      </c>
    </row>
    <row r="403" customFormat="false" ht="15" hidden="false" customHeight="false" outlineLevel="0" collapsed="false">
      <c r="A403" s="2" t="n">
        <v>402</v>
      </c>
      <c r="B403" s="3" t="s">
        <v>52</v>
      </c>
      <c r="C403" s="4" t="n">
        <v>3345</v>
      </c>
      <c r="D403" s="5" t="n">
        <v>46262</v>
      </c>
      <c r="E403" s="3" t="s">
        <v>132</v>
      </c>
      <c r="F403" s="2" t="str">
        <f aca="false">TEXT(D403,"mmmm")</f>
        <v>August</v>
      </c>
      <c r="G403" s="2" t="str">
        <f aca="false">INDEX('Product Summary'!$A$5:$A$24,MATCH(B403,'Product Summary'!$B$5:$B$24,0))</f>
        <v>PRD-1002</v>
      </c>
      <c r="H403" s="2" t="n">
        <v>2</v>
      </c>
      <c r="I403" s="6" t="n">
        <f aca="false">ROUND(J403*INDEX('Product Summary'!$E$5:$E$24,MATCH(B403,'Product Summary'!$B$5:$B$24,0)),2)</f>
        <v>1873.2</v>
      </c>
      <c r="J403" s="6" t="n">
        <f aca="false">C403*H403</f>
        <v>6690</v>
      </c>
    </row>
    <row r="404" customFormat="false" ht="15" hidden="false" customHeight="false" outlineLevel="0" collapsed="false">
      <c r="A404" s="2" t="n">
        <v>403</v>
      </c>
      <c r="B404" s="3" t="s">
        <v>52</v>
      </c>
      <c r="C404" s="4" t="n">
        <v>3385</v>
      </c>
      <c r="D404" s="5" t="n">
        <v>46263</v>
      </c>
      <c r="E404" s="3" t="s">
        <v>56</v>
      </c>
      <c r="F404" s="2" t="str">
        <f aca="false">TEXT(D404,"mmmm")</f>
        <v>August</v>
      </c>
      <c r="G404" s="2" t="str">
        <f aca="false">INDEX('Product Summary'!$A$5:$A$24,MATCH(B404,'Product Summary'!$B$5:$B$24,0))</f>
        <v>PRD-1002</v>
      </c>
      <c r="H404" s="2" t="n">
        <v>4</v>
      </c>
      <c r="I404" s="6" t="n">
        <f aca="false">ROUND(J404*INDEX('Product Summary'!$E$5:$E$24,MATCH(B404,'Product Summary'!$B$5:$B$24,0)),2)</f>
        <v>3791.2</v>
      </c>
      <c r="J404" s="6" t="n">
        <f aca="false">C404*H404</f>
        <v>13540</v>
      </c>
    </row>
    <row r="405" customFormat="false" ht="15" hidden="false" customHeight="false" outlineLevel="0" collapsed="false">
      <c r="A405" s="2" t="n">
        <v>404</v>
      </c>
      <c r="B405" s="3" t="s">
        <v>34</v>
      </c>
      <c r="C405" s="4" t="n">
        <v>1990</v>
      </c>
      <c r="D405" s="5" t="n">
        <v>46263</v>
      </c>
      <c r="E405" s="3" t="s">
        <v>53</v>
      </c>
      <c r="F405" s="2" t="str">
        <f aca="false">TEXT(D405,"mmmm")</f>
        <v>August</v>
      </c>
      <c r="G405" s="2" t="str">
        <f aca="false">INDEX('Product Summary'!$A$5:$A$24,MATCH(B405,'Product Summary'!$B$5:$B$24,0))</f>
        <v>PRD-1006</v>
      </c>
      <c r="H405" s="2" t="n">
        <v>8</v>
      </c>
      <c r="I405" s="6" t="n">
        <f aca="false">ROUND(J405*INDEX('Product Summary'!$E$5:$E$24,MATCH(B405,'Product Summary'!$B$5:$B$24,0)),2)</f>
        <v>4298.4</v>
      </c>
      <c r="J405" s="6" t="n">
        <f aca="false">C405*H405</f>
        <v>15920</v>
      </c>
    </row>
    <row r="406" customFormat="false" ht="15" hidden="false" customHeight="false" outlineLevel="0" collapsed="false">
      <c r="A406" s="2" t="n">
        <v>405</v>
      </c>
      <c r="B406" s="3" t="s">
        <v>10</v>
      </c>
      <c r="C406" s="4" t="n">
        <v>16150</v>
      </c>
      <c r="D406" s="5" t="n">
        <v>46264</v>
      </c>
      <c r="E406" s="3" t="s">
        <v>65</v>
      </c>
      <c r="F406" s="2" t="str">
        <f aca="false">TEXT(D406,"mmmm")</f>
        <v>August</v>
      </c>
      <c r="G406" s="2" t="str">
        <f aca="false">INDEX('Product Summary'!$A$5:$A$24,MATCH(B406,'Product Summary'!$B$5:$B$24,0))</f>
        <v>PRD-1011</v>
      </c>
      <c r="H406" s="2" t="n">
        <v>3</v>
      </c>
      <c r="I406" s="6" t="n">
        <f aca="false">ROUND(J406*INDEX('Product Summary'!$E$5:$E$24,MATCH(B406,'Product Summary'!$B$5:$B$24,0)),2)</f>
        <v>7267.5</v>
      </c>
      <c r="J406" s="6" t="n">
        <f aca="false">C406*H406</f>
        <v>48450</v>
      </c>
    </row>
    <row r="407" customFormat="false" ht="15" hidden="false" customHeight="false" outlineLevel="0" collapsed="false">
      <c r="A407" s="2" t="n">
        <v>406</v>
      </c>
      <c r="B407" s="3" t="s">
        <v>25</v>
      </c>
      <c r="C407" s="4" t="n">
        <v>19460</v>
      </c>
      <c r="D407" s="5" t="n">
        <v>46267</v>
      </c>
      <c r="E407" s="3" t="s">
        <v>19</v>
      </c>
      <c r="F407" s="2" t="str">
        <f aca="false">TEXT(D407,"mmmm")</f>
        <v>September</v>
      </c>
      <c r="G407" s="2" t="str">
        <f aca="false">INDEX('Product Summary'!$A$5:$A$24,MATCH(B407,'Product Summary'!$B$5:$B$24,0))</f>
        <v>PRD-1016</v>
      </c>
      <c r="H407" s="2" t="n">
        <v>1</v>
      </c>
      <c r="I407" s="6" t="n">
        <f aca="false">ROUND(J407*INDEX('Product Summary'!$E$5:$E$24,MATCH(B407,'Product Summary'!$B$5:$B$24,0)),2)</f>
        <v>3697.4</v>
      </c>
      <c r="J407" s="6" t="n">
        <f aca="false">C407*H407</f>
        <v>19460</v>
      </c>
    </row>
    <row r="408" customFormat="false" ht="15" hidden="false" customHeight="false" outlineLevel="0" collapsed="false">
      <c r="A408" s="2" t="n">
        <v>407</v>
      </c>
      <c r="B408" s="3" t="s">
        <v>25</v>
      </c>
      <c r="C408" s="4" t="n">
        <v>19335</v>
      </c>
      <c r="D408" s="5" t="n">
        <v>46267</v>
      </c>
      <c r="E408" s="3" t="s">
        <v>66</v>
      </c>
      <c r="F408" s="2" t="str">
        <f aca="false">TEXT(D408,"mmmm")</f>
        <v>September</v>
      </c>
      <c r="G408" s="2" t="str">
        <f aca="false">INDEX('Product Summary'!$A$5:$A$24,MATCH(B408,'Product Summary'!$B$5:$B$24,0))</f>
        <v>PRD-1016</v>
      </c>
      <c r="H408" s="2" t="n">
        <v>2</v>
      </c>
      <c r="I408" s="6" t="n">
        <f aca="false">ROUND(J408*INDEX('Product Summary'!$E$5:$E$24,MATCH(B408,'Product Summary'!$B$5:$B$24,0)),2)</f>
        <v>7347.3</v>
      </c>
      <c r="J408" s="6" t="n">
        <f aca="false">C408*H408</f>
        <v>38670</v>
      </c>
    </row>
    <row r="409" customFormat="false" ht="15" hidden="false" customHeight="false" outlineLevel="0" collapsed="false">
      <c r="A409" s="2" t="n">
        <v>408</v>
      </c>
      <c r="B409" s="3" t="s">
        <v>52</v>
      </c>
      <c r="C409" s="4" t="n">
        <v>3515</v>
      </c>
      <c r="D409" s="5" t="n">
        <v>46268</v>
      </c>
      <c r="E409" s="3" t="s">
        <v>115</v>
      </c>
      <c r="F409" s="2" t="str">
        <f aca="false">TEXT(D409,"mmmm")</f>
        <v>September</v>
      </c>
      <c r="G409" s="2" t="str">
        <f aca="false">INDEX('Product Summary'!$A$5:$A$24,MATCH(B409,'Product Summary'!$B$5:$B$24,0))</f>
        <v>PRD-1002</v>
      </c>
      <c r="H409" s="2" t="n">
        <v>5</v>
      </c>
      <c r="I409" s="6" t="n">
        <f aca="false">ROUND(J409*INDEX('Product Summary'!$E$5:$E$24,MATCH(B409,'Product Summary'!$B$5:$B$24,0)),2)</f>
        <v>4921</v>
      </c>
      <c r="J409" s="6" t="n">
        <f aca="false">C409*H409</f>
        <v>17575</v>
      </c>
    </row>
    <row r="410" customFormat="false" ht="15" hidden="false" customHeight="false" outlineLevel="0" collapsed="false">
      <c r="A410" s="2" t="n">
        <v>409</v>
      </c>
      <c r="B410" s="3" t="s">
        <v>22</v>
      </c>
      <c r="C410" s="4" t="n">
        <v>7785</v>
      </c>
      <c r="D410" s="5" t="n">
        <v>46268</v>
      </c>
      <c r="E410" s="3" t="s">
        <v>127</v>
      </c>
      <c r="F410" s="2" t="str">
        <f aca="false">TEXT(D410,"mmmm")</f>
        <v>September</v>
      </c>
      <c r="G410" s="2" t="str">
        <f aca="false">INDEX('Product Summary'!$A$5:$A$24,MATCH(B410,'Product Summary'!$B$5:$B$24,0))</f>
        <v>PRD-1008</v>
      </c>
      <c r="H410" s="2" t="n">
        <v>4</v>
      </c>
      <c r="I410" s="6" t="n">
        <f aca="false">ROUND(J410*INDEX('Product Summary'!$E$5:$E$24,MATCH(B410,'Product Summary'!$B$5:$B$24,0)),2)</f>
        <v>7473.6</v>
      </c>
      <c r="J410" s="6" t="n">
        <f aca="false">C410*H410</f>
        <v>31140</v>
      </c>
    </row>
    <row r="411" customFormat="false" ht="15" hidden="false" customHeight="false" outlineLevel="0" collapsed="false">
      <c r="A411" s="2" t="n">
        <v>410</v>
      </c>
      <c r="B411" s="3" t="s">
        <v>37</v>
      </c>
      <c r="C411" s="4" t="n">
        <v>2780</v>
      </c>
      <c r="D411" s="5" t="n">
        <v>46270</v>
      </c>
      <c r="E411" s="3" t="s">
        <v>26</v>
      </c>
      <c r="F411" s="2" t="str">
        <f aca="false">TEXT(D411,"mmmm")</f>
        <v>September</v>
      </c>
      <c r="G411" s="2" t="str">
        <f aca="false">INDEX('Product Summary'!$A$5:$A$24,MATCH(B411,'Product Summary'!$B$5:$B$24,0))</f>
        <v>PRD-1007</v>
      </c>
      <c r="H411" s="2" t="n">
        <v>3</v>
      </c>
      <c r="I411" s="6" t="n">
        <f aca="false">ROUND(J411*INDEX('Product Summary'!$E$5:$E$24,MATCH(B411,'Product Summary'!$B$5:$B$24,0)),2)</f>
        <v>2418.6</v>
      </c>
      <c r="J411" s="6" t="n">
        <f aca="false">C411*H411</f>
        <v>8340</v>
      </c>
    </row>
    <row r="412" customFormat="false" ht="15" hidden="false" customHeight="false" outlineLevel="0" collapsed="false">
      <c r="A412" s="2" t="n">
        <v>411</v>
      </c>
      <c r="B412" s="3" t="s">
        <v>43</v>
      </c>
      <c r="C412" s="4" t="n">
        <v>11210</v>
      </c>
      <c r="D412" s="5" t="n">
        <v>46273</v>
      </c>
      <c r="E412" s="3" t="s">
        <v>124</v>
      </c>
      <c r="F412" s="2" t="str">
        <f aca="false">TEXT(D412,"mmmm")</f>
        <v>September</v>
      </c>
      <c r="G412" s="2" t="str">
        <f aca="false">INDEX('Product Summary'!$A$5:$A$24,MATCH(B412,'Product Summary'!$B$5:$B$24,0))</f>
        <v>PRD-1015</v>
      </c>
      <c r="H412" s="2" t="n">
        <v>1</v>
      </c>
      <c r="I412" s="6" t="n">
        <f aca="false">ROUND(J412*INDEX('Product Summary'!$E$5:$E$24,MATCH(B412,'Product Summary'!$B$5:$B$24,0)),2)</f>
        <v>2242</v>
      </c>
      <c r="J412" s="6" t="n">
        <f aca="false">C412*H412</f>
        <v>11210</v>
      </c>
    </row>
    <row r="413" customFormat="false" ht="15" hidden="false" customHeight="false" outlineLevel="0" collapsed="false">
      <c r="A413" s="2" t="n">
        <v>412</v>
      </c>
      <c r="B413" s="3" t="s">
        <v>27</v>
      </c>
      <c r="C413" s="4" t="n">
        <v>2395</v>
      </c>
      <c r="D413" s="5" t="n">
        <v>46273</v>
      </c>
      <c r="E413" s="3" t="s">
        <v>115</v>
      </c>
      <c r="F413" s="2" t="str">
        <f aca="false">TEXT(D413,"mmmm")</f>
        <v>September</v>
      </c>
      <c r="G413" s="2" t="str">
        <f aca="false">INDEX('Product Summary'!$A$5:$A$24,MATCH(B413,'Product Summary'!$B$5:$B$24,0))</f>
        <v>PRD-1004</v>
      </c>
      <c r="H413" s="2" t="n">
        <v>3</v>
      </c>
      <c r="I413" s="6" t="n">
        <f aca="false">ROUND(J413*INDEX('Product Summary'!$E$5:$E$24,MATCH(B413,'Product Summary'!$B$5:$B$24,0)),2)</f>
        <v>2155.5</v>
      </c>
      <c r="J413" s="6" t="n">
        <f aca="false">C413*H413</f>
        <v>7185</v>
      </c>
    </row>
    <row r="414" customFormat="false" ht="15" hidden="false" customHeight="false" outlineLevel="0" collapsed="false">
      <c r="A414" s="2" t="n">
        <v>413</v>
      </c>
      <c r="B414" s="3" t="s">
        <v>45</v>
      </c>
      <c r="C414" s="4" t="n">
        <v>2485</v>
      </c>
      <c r="D414" s="5" t="n">
        <v>46273</v>
      </c>
      <c r="E414" s="3" t="s">
        <v>28</v>
      </c>
      <c r="F414" s="2" t="str">
        <f aca="false">TEXT(D414,"mmmm")</f>
        <v>September</v>
      </c>
      <c r="G414" s="2" t="str">
        <f aca="false">INDEX('Product Summary'!$A$5:$A$24,MATCH(B414,'Product Summary'!$B$5:$B$24,0))</f>
        <v>PRD-1010</v>
      </c>
      <c r="H414" s="2" t="n">
        <v>6</v>
      </c>
      <c r="I414" s="6" t="n">
        <f aca="false">ROUND(J414*INDEX('Product Summary'!$E$5:$E$24,MATCH(B414,'Product Summary'!$B$5:$B$24,0)),2)</f>
        <v>3727.5</v>
      </c>
      <c r="J414" s="6" t="n">
        <f aca="false">C414*H414</f>
        <v>14910</v>
      </c>
    </row>
    <row r="415" customFormat="false" ht="15" hidden="false" customHeight="false" outlineLevel="0" collapsed="false">
      <c r="A415" s="2" t="n">
        <v>414</v>
      </c>
      <c r="B415" s="3" t="s">
        <v>20</v>
      </c>
      <c r="C415" s="4" t="n">
        <v>20485</v>
      </c>
      <c r="D415" s="5" t="n">
        <v>46274</v>
      </c>
      <c r="E415" s="3" t="s">
        <v>128</v>
      </c>
      <c r="F415" s="2" t="str">
        <f aca="false">TEXT(D415,"mmmm")</f>
        <v>September</v>
      </c>
      <c r="G415" s="2" t="str">
        <f aca="false">INDEX('Product Summary'!$A$5:$A$24,MATCH(B415,'Product Summary'!$B$5:$B$24,0))</f>
        <v>PRD-1019</v>
      </c>
      <c r="H415" s="2" t="n">
        <v>3</v>
      </c>
      <c r="I415" s="6" t="n">
        <f aca="false">ROUND(J415*INDEX('Product Summary'!$E$5:$E$24,MATCH(B415,'Product Summary'!$B$5:$B$24,0)),2)</f>
        <v>7374.6</v>
      </c>
      <c r="J415" s="6" t="n">
        <f aca="false">C415*H415</f>
        <v>61455</v>
      </c>
    </row>
    <row r="416" customFormat="false" ht="15" hidden="false" customHeight="false" outlineLevel="0" collapsed="false">
      <c r="A416" s="2" t="n">
        <v>415</v>
      </c>
      <c r="B416" s="3" t="s">
        <v>60</v>
      </c>
      <c r="C416" s="4" t="n">
        <v>6250</v>
      </c>
      <c r="D416" s="5" t="n">
        <v>46274</v>
      </c>
      <c r="E416" s="3" t="s">
        <v>126</v>
      </c>
      <c r="F416" s="2" t="str">
        <f aca="false">TEXT(D416,"mmmm")</f>
        <v>September</v>
      </c>
      <c r="G416" s="2" t="str">
        <f aca="false">INDEX('Product Summary'!$A$5:$A$24,MATCH(B416,'Product Summary'!$B$5:$B$24,0))</f>
        <v>PRD-1009</v>
      </c>
      <c r="H416" s="2" t="n">
        <v>1</v>
      </c>
      <c r="I416" s="6" t="n">
        <f aca="false">ROUND(J416*INDEX('Product Summary'!$E$5:$E$24,MATCH(B416,'Product Summary'!$B$5:$B$24,0)),2)</f>
        <v>1375</v>
      </c>
      <c r="J416" s="6" t="n">
        <f aca="false">C416*H416</f>
        <v>6250</v>
      </c>
    </row>
    <row r="417" customFormat="false" ht="15" hidden="false" customHeight="false" outlineLevel="0" collapsed="false">
      <c r="A417" s="2" t="n">
        <v>416</v>
      </c>
      <c r="B417" s="3" t="s">
        <v>18</v>
      </c>
      <c r="C417" s="4" t="n">
        <v>1795</v>
      </c>
      <c r="D417" s="5" t="n">
        <v>46274</v>
      </c>
      <c r="E417" s="3" t="s">
        <v>24</v>
      </c>
      <c r="F417" s="2" t="str">
        <f aca="false">TEXT(D417,"mmmm")</f>
        <v>September</v>
      </c>
      <c r="G417" s="2" t="str">
        <f aca="false">INDEX('Product Summary'!$A$5:$A$24,MATCH(B417,'Product Summary'!$B$5:$B$24,0))</f>
        <v>PRD-1003</v>
      </c>
      <c r="H417" s="2" t="n">
        <v>3</v>
      </c>
      <c r="I417" s="6" t="n">
        <f aca="false">ROUND(J417*INDEX('Product Summary'!$E$5:$E$24,MATCH(B417,'Product Summary'!$B$5:$B$24,0)),2)</f>
        <v>1884.75</v>
      </c>
      <c r="J417" s="6" t="n">
        <f aca="false">C417*H417</f>
        <v>5385</v>
      </c>
    </row>
    <row r="418" customFormat="false" ht="15" hidden="false" customHeight="false" outlineLevel="0" collapsed="false">
      <c r="A418" s="2" t="n">
        <v>417</v>
      </c>
      <c r="B418" s="3" t="s">
        <v>37</v>
      </c>
      <c r="C418" s="4" t="n">
        <v>2885</v>
      </c>
      <c r="D418" s="5" t="n">
        <v>46276</v>
      </c>
      <c r="E418" s="3" t="s">
        <v>130</v>
      </c>
      <c r="F418" s="2" t="str">
        <f aca="false">TEXT(D418,"mmmm")</f>
        <v>September</v>
      </c>
      <c r="G418" s="2" t="str">
        <f aca="false">INDEX('Product Summary'!$A$5:$A$24,MATCH(B418,'Product Summary'!$B$5:$B$24,0))</f>
        <v>PRD-1007</v>
      </c>
      <c r="H418" s="2" t="n">
        <v>1</v>
      </c>
      <c r="I418" s="6" t="n">
        <f aca="false">ROUND(J418*INDEX('Product Summary'!$E$5:$E$24,MATCH(B418,'Product Summary'!$B$5:$B$24,0)),2)</f>
        <v>836.65</v>
      </c>
      <c r="J418" s="6" t="n">
        <f aca="false">C418*H418</f>
        <v>2885</v>
      </c>
    </row>
    <row r="419" customFormat="false" ht="15" hidden="false" customHeight="false" outlineLevel="0" collapsed="false">
      <c r="A419" s="2" t="n">
        <v>418</v>
      </c>
      <c r="B419" s="3" t="s">
        <v>14</v>
      </c>
      <c r="C419" s="4" t="n">
        <v>3040</v>
      </c>
      <c r="D419" s="5" t="n">
        <v>46276</v>
      </c>
      <c r="E419" s="3" t="s">
        <v>40</v>
      </c>
      <c r="F419" s="2" t="str">
        <f aca="false">TEXT(D419,"mmmm")</f>
        <v>September</v>
      </c>
      <c r="G419" s="2" t="str">
        <f aca="false">INDEX('Product Summary'!$A$5:$A$24,MATCH(B419,'Product Summary'!$B$5:$B$24,0))</f>
        <v>PRD-1005</v>
      </c>
      <c r="H419" s="2" t="n">
        <v>5</v>
      </c>
      <c r="I419" s="6" t="n">
        <f aca="false">ROUND(J419*INDEX('Product Summary'!$E$5:$E$24,MATCH(B419,'Product Summary'!$B$5:$B$24,0)),2)</f>
        <v>3952</v>
      </c>
      <c r="J419" s="6" t="n">
        <f aca="false">C419*H419</f>
        <v>15200</v>
      </c>
    </row>
    <row r="420" customFormat="false" ht="15" hidden="false" customHeight="false" outlineLevel="0" collapsed="false">
      <c r="A420" s="2" t="n">
        <v>419</v>
      </c>
      <c r="B420" s="3" t="s">
        <v>12</v>
      </c>
      <c r="C420" s="4" t="n">
        <v>755</v>
      </c>
      <c r="D420" s="5" t="n">
        <v>46276</v>
      </c>
      <c r="E420" s="3" t="s">
        <v>138</v>
      </c>
      <c r="F420" s="2" t="str">
        <f aca="false">TEXT(D420,"mmmm")</f>
        <v>September</v>
      </c>
      <c r="G420" s="2" t="str">
        <f aca="false">INDEX('Product Summary'!$A$5:$A$24,MATCH(B420,'Product Summary'!$B$5:$B$24,0))</f>
        <v>PRD-1001</v>
      </c>
      <c r="H420" s="2" t="n">
        <v>4</v>
      </c>
      <c r="I420" s="6" t="n">
        <f aca="false">ROUND(J420*INDEX('Product Summary'!$E$5:$E$24,MATCH(B420,'Product Summary'!$B$5:$B$24,0)),2)</f>
        <v>966.4</v>
      </c>
      <c r="J420" s="6" t="n">
        <f aca="false">C420*H420</f>
        <v>3020</v>
      </c>
    </row>
    <row r="421" customFormat="false" ht="15" hidden="false" customHeight="false" outlineLevel="0" collapsed="false">
      <c r="A421" s="2" t="n">
        <v>420</v>
      </c>
      <c r="B421" s="3" t="s">
        <v>10</v>
      </c>
      <c r="C421" s="4" t="n">
        <v>16270</v>
      </c>
      <c r="D421" s="5" t="n">
        <v>46276</v>
      </c>
      <c r="E421" s="3" t="s">
        <v>93</v>
      </c>
      <c r="F421" s="2" t="str">
        <f aca="false">TEXT(D421,"mmmm")</f>
        <v>September</v>
      </c>
      <c r="G421" s="2" t="str">
        <f aca="false">INDEX('Product Summary'!$A$5:$A$24,MATCH(B421,'Product Summary'!$B$5:$B$24,0))</f>
        <v>PRD-1011</v>
      </c>
      <c r="H421" s="2" t="n">
        <v>1</v>
      </c>
      <c r="I421" s="6" t="n">
        <f aca="false">ROUND(J421*INDEX('Product Summary'!$E$5:$E$24,MATCH(B421,'Product Summary'!$B$5:$B$24,0)),2)</f>
        <v>2440.5</v>
      </c>
      <c r="J421" s="6" t="n">
        <f aca="false">C421*H421</f>
        <v>16270</v>
      </c>
    </row>
    <row r="422" customFormat="false" ht="15" hidden="false" customHeight="false" outlineLevel="0" collapsed="false">
      <c r="A422" s="2" t="n">
        <v>421</v>
      </c>
      <c r="B422" s="3" t="s">
        <v>104</v>
      </c>
      <c r="C422" s="4" t="n">
        <v>8060</v>
      </c>
      <c r="D422" s="5" t="n">
        <v>46276</v>
      </c>
      <c r="E422" s="3" t="s">
        <v>28</v>
      </c>
      <c r="F422" s="2" t="str">
        <f aca="false">TEXT(D422,"mmmm")</f>
        <v>September</v>
      </c>
      <c r="G422" s="2" t="str">
        <f aca="false">INDEX('Product Summary'!$A$5:$A$24,MATCH(B422,'Product Summary'!$B$5:$B$24,0))</f>
        <v>PRD-1012</v>
      </c>
      <c r="H422" s="2" t="n">
        <v>2</v>
      </c>
      <c r="I422" s="6" t="n">
        <f aca="false">ROUND(J422*INDEX('Product Summary'!$E$5:$E$24,MATCH(B422,'Product Summary'!$B$5:$B$24,0)),2)</f>
        <v>2901.6</v>
      </c>
      <c r="J422" s="6" t="n">
        <f aca="false">C422*H422</f>
        <v>16120</v>
      </c>
    </row>
    <row r="423" customFormat="false" ht="15" hidden="false" customHeight="false" outlineLevel="0" collapsed="false">
      <c r="A423" s="2" t="n">
        <v>422</v>
      </c>
      <c r="B423" s="3" t="s">
        <v>37</v>
      </c>
      <c r="C423" s="4" t="n">
        <v>2835</v>
      </c>
      <c r="D423" s="5" t="n">
        <v>46277</v>
      </c>
      <c r="E423" s="3" t="s">
        <v>97</v>
      </c>
      <c r="F423" s="2" t="str">
        <f aca="false">TEXT(D423,"mmmm")</f>
        <v>September</v>
      </c>
      <c r="G423" s="2" t="str">
        <f aca="false">INDEX('Product Summary'!$A$5:$A$24,MATCH(B423,'Product Summary'!$B$5:$B$24,0))</f>
        <v>PRD-1007</v>
      </c>
      <c r="H423" s="2" t="n">
        <v>5</v>
      </c>
      <c r="I423" s="6" t="n">
        <f aca="false">ROUND(J423*INDEX('Product Summary'!$E$5:$E$24,MATCH(B423,'Product Summary'!$B$5:$B$24,0)),2)</f>
        <v>4110.75</v>
      </c>
      <c r="J423" s="6" t="n">
        <f aca="false">C423*H423</f>
        <v>14175</v>
      </c>
    </row>
    <row r="424" customFormat="false" ht="15" hidden="false" customHeight="false" outlineLevel="0" collapsed="false">
      <c r="A424" s="2" t="n">
        <v>423</v>
      </c>
      <c r="B424" s="3" t="s">
        <v>60</v>
      </c>
      <c r="C424" s="4" t="n">
        <v>5845</v>
      </c>
      <c r="D424" s="5" t="n">
        <v>46278</v>
      </c>
      <c r="E424" s="3" t="s">
        <v>24</v>
      </c>
      <c r="F424" s="2" t="str">
        <f aca="false">TEXT(D424,"mmmm")</f>
        <v>September</v>
      </c>
      <c r="G424" s="2" t="str">
        <f aca="false">INDEX('Product Summary'!$A$5:$A$24,MATCH(B424,'Product Summary'!$B$5:$B$24,0))</f>
        <v>PRD-1009</v>
      </c>
      <c r="H424" s="2" t="n">
        <v>2</v>
      </c>
      <c r="I424" s="6" t="n">
        <f aca="false">ROUND(J424*INDEX('Product Summary'!$E$5:$E$24,MATCH(B424,'Product Summary'!$B$5:$B$24,0)),2)</f>
        <v>2571.8</v>
      </c>
      <c r="J424" s="6" t="n">
        <f aca="false">C424*H424</f>
        <v>11690</v>
      </c>
    </row>
    <row r="425" customFormat="false" ht="15" hidden="false" customHeight="false" outlineLevel="0" collapsed="false">
      <c r="A425" s="2" t="n">
        <v>424</v>
      </c>
      <c r="B425" s="3" t="s">
        <v>27</v>
      </c>
      <c r="C425" s="4" t="n">
        <v>2145</v>
      </c>
      <c r="D425" s="5" t="n">
        <v>46279</v>
      </c>
      <c r="E425" s="3" t="s">
        <v>86</v>
      </c>
      <c r="F425" s="2" t="str">
        <f aca="false">TEXT(D425,"mmmm")</f>
        <v>September</v>
      </c>
      <c r="G425" s="2" t="str">
        <f aca="false">INDEX('Product Summary'!$A$5:$A$24,MATCH(B425,'Product Summary'!$B$5:$B$24,0))</f>
        <v>PRD-1004</v>
      </c>
      <c r="H425" s="2" t="n">
        <v>5</v>
      </c>
      <c r="I425" s="6" t="n">
        <f aca="false">ROUND(J425*INDEX('Product Summary'!$E$5:$E$24,MATCH(B425,'Product Summary'!$B$5:$B$24,0)),2)</f>
        <v>3217.5</v>
      </c>
      <c r="J425" s="6" t="n">
        <f aca="false">C425*H425</f>
        <v>10725</v>
      </c>
    </row>
    <row r="426" customFormat="false" ht="15" hidden="false" customHeight="false" outlineLevel="0" collapsed="false">
      <c r="A426" s="2" t="n">
        <v>425</v>
      </c>
      <c r="B426" s="3" t="s">
        <v>48</v>
      </c>
      <c r="C426" s="4" t="n">
        <v>3790</v>
      </c>
      <c r="D426" s="5" t="n">
        <v>46279</v>
      </c>
      <c r="E426" s="3" t="s">
        <v>46</v>
      </c>
      <c r="F426" s="2" t="str">
        <f aca="false">TEXT(D426,"mmmm")</f>
        <v>September</v>
      </c>
      <c r="G426" s="2" t="str">
        <f aca="false">INDEX('Product Summary'!$A$5:$A$24,MATCH(B426,'Product Summary'!$B$5:$B$24,0))</f>
        <v>PRD-1013</v>
      </c>
      <c r="H426" s="2" t="n">
        <v>4</v>
      </c>
      <c r="I426" s="6" t="n">
        <f aca="false">ROUND(J426*INDEX('Product Summary'!$E$5:$E$24,MATCH(B426,'Product Summary'!$B$5:$B$24,0)),2)</f>
        <v>3638.4</v>
      </c>
      <c r="J426" s="6" t="n">
        <f aca="false">C426*H426</f>
        <v>15160</v>
      </c>
    </row>
    <row r="427" customFormat="false" ht="15" hidden="false" customHeight="false" outlineLevel="0" collapsed="false">
      <c r="A427" s="2" t="n">
        <v>426</v>
      </c>
      <c r="B427" s="3" t="s">
        <v>52</v>
      </c>
      <c r="C427" s="4" t="n">
        <v>3240</v>
      </c>
      <c r="D427" s="5" t="n">
        <v>46279</v>
      </c>
      <c r="E427" s="3" t="s">
        <v>76</v>
      </c>
      <c r="F427" s="2" t="str">
        <f aca="false">TEXT(D427,"mmmm")</f>
        <v>September</v>
      </c>
      <c r="G427" s="2" t="str">
        <f aca="false">INDEX('Product Summary'!$A$5:$A$24,MATCH(B427,'Product Summary'!$B$5:$B$24,0))</f>
        <v>PRD-1002</v>
      </c>
      <c r="H427" s="2" t="n">
        <v>4</v>
      </c>
      <c r="I427" s="6" t="n">
        <f aca="false">ROUND(J427*INDEX('Product Summary'!$E$5:$E$24,MATCH(B427,'Product Summary'!$B$5:$B$24,0)),2)</f>
        <v>3628.8</v>
      </c>
      <c r="J427" s="6" t="n">
        <f aca="false">C427*H427</f>
        <v>12960</v>
      </c>
    </row>
    <row r="428" customFormat="false" ht="15" hidden="false" customHeight="false" outlineLevel="0" collapsed="false">
      <c r="A428" s="2" t="n">
        <v>427</v>
      </c>
      <c r="B428" s="3" t="s">
        <v>31</v>
      </c>
      <c r="C428" s="4" t="n">
        <v>24405</v>
      </c>
      <c r="D428" s="5" t="n">
        <v>46282</v>
      </c>
      <c r="E428" s="3" t="s">
        <v>73</v>
      </c>
      <c r="F428" s="2" t="str">
        <f aca="false">TEXT(D428,"mmmm")</f>
        <v>September</v>
      </c>
      <c r="G428" s="2" t="str">
        <f aca="false">INDEX('Product Summary'!$A$5:$A$24,MATCH(B428,'Product Summary'!$B$5:$B$24,0))</f>
        <v>PRD-1020</v>
      </c>
      <c r="H428" s="2" t="n">
        <v>1</v>
      </c>
      <c r="I428" s="6" t="n">
        <f aca="false">ROUND(J428*INDEX('Product Summary'!$E$5:$E$24,MATCH(B428,'Product Summary'!$B$5:$B$24,0)),2)</f>
        <v>2440.5</v>
      </c>
      <c r="J428" s="6" t="n">
        <f aca="false">C428*H428</f>
        <v>24405</v>
      </c>
    </row>
    <row r="429" customFormat="false" ht="15" hidden="false" customHeight="false" outlineLevel="0" collapsed="false">
      <c r="A429" s="2" t="n">
        <v>428</v>
      </c>
      <c r="B429" s="3" t="s">
        <v>104</v>
      </c>
      <c r="C429" s="4" t="n">
        <v>8140</v>
      </c>
      <c r="D429" s="5" t="n">
        <v>46283</v>
      </c>
      <c r="E429" s="3" t="s">
        <v>65</v>
      </c>
      <c r="F429" s="2" t="str">
        <f aca="false">TEXT(D429,"mmmm")</f>
        <v>September</v>
      </c>
      <c r="G429" s="2" t="str">
        <f aca="false">INDEX('Product Summary'!$A$5:$A$24,MATCH(B429,'Product Summary'!$B$5:$B$24,0))</f>
        <v>PRD-1012</v>
      </c>
      <c r="H429" s="2" t="n">
        <v>4</v>
      </c>
      <c r="I429" s="6" t="n">
        <f aca="false">ROUND(J429*INDEX('Product Summary'!$E$5:$E$24,MATCH(B429,'Product Summary'!$B$5:$B$24,0)),2)</f>
        <v>5860.8</v>
      </c>
      <c r="J429" s="6" t="n">
        <f aca="false">C429*H429</f>
        <v>32560</v>
      </c>
    </row>
    <row r="430" customFormat="false" ht="15" hidden="false" customHeight="false" outlineLevel="0" collapsed="false">
      <c r="A430" s="2" t="n">
        <v>429</v>
      </c>
      <c r="B430" s="3" t="s">
        <v>20</v>
      </c>
      <c r="C430" s="4" t="n">
        <v>19660</v>
      </c>
      <c r="D430" s="5" t="n">
        <v>46283</v>
      </c>
      <c r="E430" s="3" t="s">
        <v>47</v>
      </c>
      <c r="F430" s="2" t="str">
        <f aca="false">TEXT(D430,"mmmm")</f>
        <v>September</v>
      </c>
      <c r="G430" s="2" t="str">
        <f aca="false">INDEX('Product Summary'!$A$5:$A$24,MATCH(B430,'Product Summary'!$B$5:$B$24,0))</f>
        <v>PRD-1019</v>
      </c>
      <c r="H430" s="2" t="n">
        <v>1</v>
      </c>
      <c r="I430" s="6" t="n">
        <f aca="false">ROUND(J430*INDEX('Product Summary'!$E$5:$E$24,MATCH(B430,'Product Summary'!$B$5:$B$24,0)),2)</f>
        <v>2359.2</v>
      </c>
      <c r="J430" s="6" t="n">
        <f aca="false">C430*H430</f>
        <v>19660</v>
      </c>
    </row>
    <row r="431" customFormat="false" ht="15" hidden="false" customHeight="false" outlineLevel="0" collapsed="false">
      <c r="A431" s="2" t="n">
        <v>430</v>
      </c>
      <c r="B431" s="3" t="s">
        <v>10</v>
      </c>
      <c r="C431" s="4" t="n">
        <v>17305</v>
      </c>
      <c r="D431" s="5" t="n">
        <v>46284</v>
      </c>
      <c r="E431" s="3" t="s">
        <v>85</v>
      </c>
      <c r="F431" s="2" t="str">
        <f aca="false">TEXT(D431,"mmmm")</f>
        <v>September</v>
      </c>
      <c r="G431" s="2" t="str">
        <f aca="false">INDEX('Product Summary'!$A$5:$A$24,MATCH(B431,'Product Summary'!$B$5:$B$24,0))</f>
        <v>PRD-1011</v>
      </c>
      <c r="H431" s="2" t="n">
        <v>1</v>
      </c>
      <c r="I431" s="6" t="n">
        <f aca="false">ROUND(J431*INDEX('Product Summary'!$E$5:$E$24,MATCH(B431,'Product Summary'!$B$5:$B$24,0)),2)</f>
        <v>2595.75</v>
      </c>
      <c r="J431" s="6" t="n">
        <f aca="false">C431*H431</f>
        <v>17305</v>
      </c>
    </row>
    <row r="432" customFormat="false" ht="15" hidden="false" customHeight="false" outlineLevel="0" collapsed="false">
      <c r="A432" s="2" t="n">
        <v>431</v>
      </c>
      <c r="B432" s="3" t="s">
        <v>20</v>
      </c>
      <c r="C432" s="4" t="n">
        <v>21000</v>
      </c>
      <c r="D432" s="5" t="n">
        <v>46284</v>
      </c>
      <c r="E432" s="3" t="s">
        <v>96</v>
      </c>
      <c r="F432" s="2" t="str">
        <f aca="false">TEXT(D432,"mmmm")</f>
        <v>September</v>
      </c>
      <c r="G432" s="2" t="str">
        <f aca="false">INDEX('Product Summary'!$A$5:$A$24,MATCH(B432,'Product Summary'!$B$5:$B$24,0))</f>
        <v>PRD-1019</v>
      </c>
      <c r="H432" s="2" t="n">
        <v>3</v>
      </c>
      <c r="I432" s="6" t="n">
        <f aca="false">ROUND(J432*INDEX('Product Summary'!$E$5:$E$24,MATCH(B432,'Product Summary'!$B$5:$B$24,0)),2)</f>
        <v>7560</v>
      </c>
      <c r="J432" s="6" t="n">
        <f aca="false">C432*H432</f>
        <v>63000</v>
      </c>
    </row>
    <row r="433" customFormat="false" ht="15" hidden="false" customHeight="false" outlineLevel="0" collapsed="false">
      <c r="A433" s="2" t="n">
        <v>432</v>
      </c>
      <c r="B433" s="3" t="s">
        <v>12</v>
      </c>
      <c r="C433" s="4" t="n">
        <v>735</v>
      </c>
      <c r="D433" s="5" t="n">
        <v>46284</v>
      </c>
      <c r="E433" s="3" t="s">
        <v>111</v>
      </c>
      <c r="F433" s="2" t="str">
        <f aca="false">TEXT(D433,"mmmm")</f>
        <v>September</v>
      </c>
      <c r="G433" s="2" t="str">
        <f aca="false">INDEX('Product Summary'!$A$5:$A$24,MATCH(B433,'Product Summary'!$B$5:$B$24,0))</f>
        <v>PRD-1001</v>
      </c>
      <c r="H433" s="2" t="n">
        <v>2</v>
      </c>
      <c r="I433" s="6" t="n">
        <f aca="false">ROUND(J433*INDEX('Product Summary'!$E$5:$E$24,MATCH(B433,'Product Summary'!$B$5:$B$24,0)),2)</f>
        <v>470.4</v>
      </c>
      <c r="J433" s="6" t="n">
        <f aca="false">C433*H433</f>
        <v>1470</v>
      </c>
    </row>
    <row r="434" customFormat="false" ht="15" hidden="false" customHeight="false" outlineLevel="0" collapsed="false">
      <c r="A434" s="2" t="n">
        <v>433</v>
      </c>
      <c r="B434" s="3" t="s">
        <v>27</v>
      </c>
      <c r="C434" s="4" t="n">
        <v>2325</v>
      </c>
      <c r="D434" s="5" t="n">
        <v>46285</v>
      </c>
      <c r="E434" s="3" t="s">
        <v>134</v>
      </c>
      <c r="F434" s="2" t="str">
        <f aca="false">TEXT(D434,"mmmm")</f>
        <v>September</v>
      </c>
      <c r="G434" s="2" t="str">
        <f aca="false">INDEX('Product Summary'!$A$5:$A$24,MATCH(B434,'Product Summary'!$B$5:$B$24,0))</f>
        <v>PRD-1004</v>
      </c>
      <c r="H434" s="2" t="n">
        <v>3</v>
      </c>
      <c r="I434" s="6" t="n">
        <f aca="false">ROUND(J434*INDEX('Product Summary'!$E$5:$E$24,MATCH(B434,'Product Summary'!$B$5:$B$24,0)),2)</f>
        <v>2092.5</v>
      </c>
      <c r="J434" s="6" t="n">
        <f aca="false">C434*H434</f>
        <v>6975</v>
      </c>
    </row>
    <row r="435" customFormat="false" ht="15" hidden="false" customHeight="false" outlineLevel="0" collapsed="false">
      <c r="A435" s="2" t="n">
        <v>434</v>
      </c>
      <c r="B435" s="3" t="s">
        <v>34</v>
      </c>
      <c r="C435" s="4" t="n">
        <v>1955</v>
      </c>
      <c r="D435" s="5" t="n">
        <v>46285</v>
      </c>
      <c r="E435" s="3" t="s">
        <v>53</v>
      </c>
      <c r="F435" s="2" t="str">
        <f aca="false">TEXT(D435,"mmmm")</f>
        <v>September</v>
      </c>
      <c r="G435" s="2" t="str">
        <f aca="false">INDEX('Product Summary'!$A$5:$A$24,MATCH(B435,'Product Summary'!$B$5:$B$24,0))</f>
        <v>PRD-1006</v>
      </c>
      <c r="H435" s="2" t="n">
        <v>5</v>
      </c>
      <c r="I435" s="6" t="n">
        <f aca="false">ROUND(J435*INDEX('Product Summary'!$E$5:$E$24,MATCH(B435,'Product Summary'!$B$5:$B$24,0)),2)</f>
        <v>2639.25</v>
      </c>
      <c r="J435" s="6" t="n">
        <f aca="false">C435*H435</f>
        <v>9775</v>
      </c>
    </row>
    <row r="436" customFormat="false" ht="15" hidden="false" customHeight="false" outlineLevel="0" collapsed="false">
      <c r="A436" s="2" t="n">
        <v>435</v>
      </c>
      <c r="B436" s="3" t="s">
        <v>10</v>
      </c>
      <c r="C436" s="4" t="n">
        <v>17820</v>
      </c>
      <c r="D436" s="5" t="n">
        <v>46286</v>
      </c>
      <c r="E436" s="3" t="s">
        <v>77</v>
      </c>
      <c r="F436" s="2" t="str">
        <f aca="false">TEXT(D436,"mmmm")</f>
        <v>September</v>
      </c>
      <c r="G436" s="2" t="str">
        <f aca="false">INDEX('Product Summary'!$A$5:$A$24,MATCH(B436,'Product Summary'!$B$5:$B$24,0))</f>
        <v>PRD-1011</v>
      </c>
      <c r="H436" s="2" t="n">
        <v>2</v>
      </c>
      <c r="I436" s="6" t="n">
        <f aca="false">ROUND(J436*INDEX('Product Summary'!$E$5:$E$24,MATCH(B436,'Product Summary'!$B$5:$B$24,0)),2)</f>
        <v>5346</v>
      </c>
      <c r="J436" s="6" t="n">
        <f aca="false">C436*H436</f>
        <v>35640</v>
      </c>
    </row>
    <row r="437" customFormat="false" ht="15" hidden="false" customHeight="false" outlineLevel="0" collapsed="false">
      <c r="A437" s="2" t="n">
        <v>436</v>
      </c>
      <c r="B437" s="3" t="s">
        <v>14</v>
      </c>
      <c r="C437" s="4" t="n">
        <v>3125</v>
      </c>
      <c r="D437" s="5" t="n">
        <v>46287</v>
      </c>
      <c r="E437" s="3" t="s">
        <v>28</v>
      </c>
      <c r="F437" s="2" t="str">
        <f aca="false">TEXT(D437,"mmmm")</f>
        <v>September</v>
      </c>
      <c r="G437" s="2" t="str">
        <f aca="false">INDEX('Product Summary'!$A$5:$A$24,MATCH(B437,'Product Summary'!$B$5:$B$24,0))</f>
        <v>PRD-1005</v>
      </c>
      <c r="H437" s="2" t="n">
        <v>1</v>
      </c>
      <c r="I437" s="6" t="n">
        <f aca="false">ROUND(J437*INDEX('Product Summary'!$E$5:$E$24,MATCH(B437,'Product Summary'!$B$5:$B$24,0)),2)</f>
        <v>812.5</v>
      </c>
      <c r="J437" s="6" t="n">
        <f aca="false">C437*H437</f>
        <v>3125</v>
      </c>
    </row>
    <row r="438" customFormat="false" ht="15" hidden="false" customHeight="false" outlineLevel="0" collapsed="false">
      <c r="A438" s="2" t="n">
        <v>437</v>
      </c>
      <c r="B438" s="3" t="s">
        <v>22</v>
      </c>
      <c r="C438" s="4" t="n">
        <v>7445</v>
      </c>
      <c r="D438" s="5" t="n">
        <v>46289</v>
      </c>
      <c r="E438" s="3" t="s">
        <v>108</v>
      </c>
      <c r="F438" s="2" t="str">
        <f aca="false">TEXT(D438,"mmmm")</f>
        <v>September</v>
      </c>
      <c r="G438" s="2" t="str">
        <f aca="false">INDEX('Product Summary'!$A$5:$A$24,MATCH(B438,'Product Summary'!$B$5:$B$24,0))</f>
        <v>PRD-1008</v>
      </c>
      <c r="H438" s="2" t="n">
        <v>1</v>
      </c>
      <c r="I438" s="6" t="n">
        <f aca="false">ROUND(J438*INDEX('Product Summary'!$E$5:$E$24,MATCH(B438,'Product Summary'!$B$5:$B$24,0)),2)</f>
        <v>1786.8</v>
      </c>
      <c r="J438" s="6" t="n">
        <f aca="false">C438*H438</f>
        <v>7445</v>
      </c>
    </row>
    <row r="439" customFormat="false" ht="15" hidden="false" customHeight="false" outlineLevel="0" collapsed="false">
      <c r="A439" s="2" t="n">
        <v>438</v>
      </c>
      <c r="B439" s="3" t="s">
        <v>37</v>
      </c>
      <c r="C439" s="4" t="n">
        <v>3100</v>
      </c>
      <c r="D439" s="5" t="n">
        <v>46289</v>
      </c>
      <c r="E439" s="3" t="s">
        <v>89</v>
      </c>
      <c r="F439" s="2" t="str">
        <f aca="false">TEXT(D439,"mmmm")</f>
        <v>September</v>
      </c>
      <c r="G439" s="2" t="str">
        <f aca="false">INDEX('Product Summary'!$A$5:$A$24,MATCH(B439,'Product Summary'!$B$5:$B$24,0))</f>
        <v>PRD-1007</v>
      </c>
      <c r="H439" s="2" t="n">
        <v>4</v>
      </c>
      <c r="I439" s="6" t="n">
        <f aca="false">ROUND(J439*INDEX('Product Summary'!$E$5:$E$24,MATCH(B439,'Product Summary'!$B$5:$B$24,0)),2)</f>
        <v>3596</v>
      </c>
      <c r="J439" s="6" t="n">
        <f aca="false">C439*H439</f>
        <v>12400</v>
      </c>
    </row>
    <row r="440" customFormat="false" ht="15" hidden="false" customHeight="false" outlineLevel="0" collapsed="false">
      <c r="A440" s="2" t="n">
        <v>439</v>
      </c>
      <c r="B440" s="3" t="s">
        <v>42</v>
      </c>
      <c r="C440" s="4" t="n">
        <v>1235</v>
      </c>
      <c r="D440" s="5" t="n">
        <v>46290</v>
      </c>
      <c r="E440" s="3" t="s">
        <v>103</v>
      </c>
      <c r="F440" s="2" t="str">
        <f aca="false">TEXT(D440,"mmmm")</f>
        <v>September</v>
      </c>
      <c r="G440" s="2" t="str">
        <f aca="false">INDEX('Product Summary'!$A$5:$A$24,MATCH(B440,'Product Summary'!$B$5:$B$24,0))</f>
        <v>PRD-1017</v>
      </c>
      <c r="H440" s="2" t="n">
        <v>6</v>
      </c>
      <c r="I440" s="6" t="n">
        <f aca="false">ROUND(J440*INDEX('Product Summary'!$E$5:$E$24,MATCH(B440,'Product Summary'!$B$5:$B$24,0)),2)</f>
        <v>2815.8</v>
      </c>
      <c r="J440" s="6" t="n">
        <f aca="false">C440*H440</f>
        <v>7410</v>
      </c>
    </row>
    <row r="441" customFormat="false" ht="15" hidden="false" customHeight="false" outlineLevel="0" collapsed="false">
      <c r="A441" s="2" t="n">
        <v>440</v>
      </c>
      <c r="B441" s="3" t="s">
        <v>48</v>
      </c>
      <c r="C441" s="4" t="n">
        <v>4160</v>
      </c>
      <c r="D441" s="5" t="n">
        <v>46291</v>
      </c>
      <c r="E441" s="3" t="s">
        <v>134</v>
      </c>
      <c r="F441" s="2" t="str">
        <f aca="false">TEXT(D441,"mmmm")</f>
        <v>September</v>
      </c>
      <c r="G441" s="2" t="str">
        <f aca="false">INDEX('Product Summary'!$A$5:$A$24,MATCH(B441,'Product Summary'!$B$5:$B$24,0))</f>
        <v>PRD-1013</v>
      </c>
      <c r="H441" s="2" t="n">
        <v>2</v>
      </c>
      <c r="I441" s="6" t="n">
        <f aca="false">ROUND(J441*INDEX('Product Summary'!$E$5:$E$24,MATCH(B441,'Product Summary'!$B$5:$B$24,0)),2)</f>
        <v>1996.8</v>
      </c>
      <c r="J441" s="6" t="n">
        <f aca="false">C441*H441</f>
        <v>8320</v>
      </c>
    </row>
    <row r="442" customFormat="false" ht="15" hidden="false" customHeight="false" outlineLevel="0" collapsed="false">
      <c r="A442" s="2" t="n">
        <v>441</v>
      </c>
      <c r="B442" s="3" t="s">
        <v>43</v>
      </c>
      <c r="C442" s="4" t="n">
        <v>12335</v>
      </c>
      <c r="D442" s="5" t="n">
        <v>46291</v>
      </c>
      <c r="E442" s="3" t="s">
        <v>17</v>
      </c>
      <c r="F442" s="2" t="str">
        <f aca="false">TEXT(D442,"mmmm")</f>
        <v>September</v>
      </c>
      <c r="G442" s="2" t="str">
        <f aca="false">INDEX('Product Summary'!$A$5:$A$24,MATCH(B442,'Product Summary'!$B$5:$B$24,0))</f>
        <v>PRD-1015</v>
      </c>
      <c r="H442" s="2" t="n">
        <v>1</v>
      </c>
      <c r="I442" s="6" t="n">
        <f aca="false">ROUND(J442*INDEX('Product Summary'!$E$5:$E$24,MATCH(B442,'Product Summary'!$B$5:$B$24,0)),2)</f>
        <v>2467</v>
      </c>
      <c r="J442" s="6" t="n">
        <f aca="false">C442*H442</f>
        <v>12335</v>
      </c>
    </row>
    <row r="443" customFormat="false" ht="15" hidden="false" customHeight="false" outlineLevel="0" collapsed="false">
      <c r="A443" s="2" t="n">
        <v>442</v>
      </c>
      <c r="B443" s="3" t="s">
        <v>18</v>
      </c>
      <c r="C443" s="4" t="n">
        <v>1670</v>
      </c>
      <c r="D443" s="5" t="n">
        <v>46292</v>
      </c>
      <c r="E443" s="3" t="s">
        <v>46</v>
      </c>
      <c r="F443" s="2" t="str">
        <f aca="false">TEXT(D443,"mmmm")</f>
        <v>September</v>
      </c>
      <c r="G443" s="2" t="str">
        <f aca="false">INDEX('Product Summary'!$A$5:$A$24,MATCH(B443,'Product Summary'!$B$5:$B$24,0))</f>
        <v>PRD-1003</v>
      </c>
      <c r="H443" s="2" t="n">
        <v>2</v>
      </c>
      <c r="I443" s="6" t="n">
        <f aca="false">ROUND(J443*INDEX('Product Summary'!$E$5:$E$24,MATCH(B443,'Product Summary'!$B$5:$B$24,0)),2)</f>
        <v>1169</v>
      </c>
      <c r="J443" s="6" t="n">
        <f aca="false">C443*H443</f>
        <v>3340</v>
      </c>
    </row>
    <row r="444" customFormat="false" ht="15" hidden="false" customHeight="false" outlineLevel="0" collapsed="false">
      <c r="A444" s="2" t="n">
        <v>443</v>
      </c>
      <c r="B444" s="3" t="s">
        <v>25</v>
      </c>
      <c r="C444" s="4" t="n">
        <v>18615</v>
      </c>
      <c r="D444" s="5" t="n">
        <v>46293</v>
      </c>
      <c r="E444" s="3" t="s">
        <v>15</v>
      </c>
      <c r="F444" s="2" t="str">
        <f aca="false">TEXT(D444,"mmmm")</f>
        <v>September</v>
      </c>
      <c r="G444" s="2" t="str">
        <f aca="false">INDEX('Product Summary'!$A$5:$A$24,MATCH(B444,'Product Summary'!$B$5:$B$24,0))</f>
        <v>PRD-1016</v>
      </c>
      <c r="H444" s="2" t="n">
        <v>2</v>
      </c>
      <c r="I444" s="6" t="n">
        <f aca="false">ROUND(J444*INDEX('Product Summary'!$E$5:$E$24,MATCH(B444,'Product Summary'!$B$5:$B$24,0)),2)</f>
        <v>7073.7</v>
      </c>
      <c r="J444" s="6" t="n">
        <f aca="false">C444*H444</f>
        <v>37230</v>
      </c>
    </row>
    <row r="445" customFormat="false" ht="15" hidden="false" customHeight="false" outlineLevel="0" collapsed="false">
      <c r="A445" s="2" t="n">
        <v>444</v>
      </c>
      <c r="B445" s="3" t="s">
        <v>34</v>
      </c>
      <c r="C445" s="4" t="n">
        <v>2020</v>
      </c>
      <c r="D445" s="5" t="n">
        <v>46293</v>
      </c>
      <c r="E445" s="3" t="s">
        <v>16</v>
      </c>
      <c r="F445" s="2" t="str">
        <f aca="false">TEXT(D445,"mmmm")</f>
        <v>September</v>
      </c>
      <c r="G445" s="2" t="str">
        <f aca="false">INDEX('Product Summary'!$A$5:$A$24,MATCH(B445,'Product Summary'!$B$5:$B$24,0))</f>
        <v>PRD-1006</v>
      </c>
      <c r="H445" s="2" t="n">
        <v>2</v>
      </c>
      <c r="I445" s="6" t="n">
        <f aca="false">ROUND(J445*INDEX('Product Summary'!$E$5:$E$24,MATCH(B445,'Product Summary'!$B$5:$B$24,0)),2)</f>
        <v>1090.8</v>
      </c>
      <c r="J445" s="6" t="n">
        <f aca="false">C445*H445</f>
        <v>4040</v>
      </c>
    </row>
    <row r="446" customFormat="false" ht="15" hidden="false" customHeight="false" outlineLevel="0" collapsed="false">
      <c r="A446" s="2" t="n">
        <v>445</v>
      </c>
      <c r="B446" s="3" t="s">
        <v>18</v>
      </c>
      <c r="C446" s="4" t="n">
        <v>1820</v>
      </c>
      <c r="D446" s="5" t="n">
        <v>46293</v>
      </c>
      <c r="E446" s="3" t="s">
        <v>77</v>
      </c>
      <c r="F446" s="2" t="str">
        <f aca="false">TEXT(D446,"mmmm")</f>
        <v>September</v>
      </c>
      <c r="G446" s="2" t="str">
        <f aca="false">INDEX('Product Summary'!$A$5:$A$24,MATCH(B446,'Product Summary'!$B$5:$B$24,0))</f>
        <v>PRD-1003</v>
      </c>
      <c r="H446" s="2" t="n">
        <v>2</v>
      </c>
      <c r="I446" s="6" t="n">
        <f aca="false">ROUND(J446*INDEX('Product Summary'!$E$5:$E$24,MATCH(B446,'Product Summary'!$B$5:$B$24,0)),2)</f>
        <v>1274</v>
      </c>
      <c r="J446" s="6" t="n">
        <f aca="false">C446*H446</f>
        <v>3640</v>
      </c>
    </row>
    <row r="447" customFormat="false" ht="15" hidden="false" customHeight="false" outlineLevel="0" collapsed="false">
      <c r="A447" s="2" t="n">
        <v>446</v>
      </c>
      <c r="B447" s="3" t="s">
        <v>104</v>
      </c>
      <c r="C447" s="4" t="n">
        <v>8605</v>
      </c>
      <c r="D447" s="5" t="n">
        <v>46293</v>
      </c>
      <c r="E447" s="3" t="s">
        <v>128</v>
      </c>
      <c r="F447" s="2" t="str">
        <f aca="false">TEXT(D447,"mmmm")</f>
        <v>September</v>
      </c>
      <c r="G447" s="2" t="str">
        <f aca="false">INDEX('Product Summary'!$A$5:$A$24,MATCH(B447,'Product Summary'!$B$5:$B$24,0))</f>
        <v>PRD-1012</v>
      </c>
      <c r="H447" s="2" t="n">
        <v>3</v>
      </c>
      <c r="I447" s="6" t="n">
        <f aca="false">ROUND(J447*INDEX('Product Summary'!$E$5:$E$24,MATCH(B447,'Product Summary'!$B$5:$B$24,0)),2)</f>
        <v>4646.7</v>
      </c>
      <c r="J447" s="6" t="n">
        <f aca="false">C447*H447</f>
        <v>25815</v>
      </c>
    </row>
    <row r="448" customFormat="false" ht="15" hidden="false" customHeight="false" outlineLevel="0" collapsed="false">
      <c r="A448" s="2" t="n">
        <v>447</v>
      </c>
      <c r="B448" s="3" t="s">
        <v>20</v>
      </c>
      <c r="C448" s="4" t="n">
        <v>20715</v>
      </c>
      <c r="D448" s="5" t="n">
        <v>46294</v>
      </c>
      <c r="E448" s="3" t="s">
        <v>47</v>
      </c>
      <c r="F448" s="2" t="str">
        <f aca="false">TEXT(D448,"mmmm")</f>
        <v>September</v>
      </c>
      <c r="G448" s="2" t="str">
        <f aca="false">INDEX('Product Summary'!$A$5:$A$24,MATCH(B448,'Product Summary'!$B$5:$B$24,0))</f>
        <v>PRD-1019</v>
      </c>
      <c r="H448" s="2" t="n">
        <v>3</v>
      </c>
      <c r="I448" s="6" t="n">
        <f aca="false">ROUND(J448*INDEX('Product Summary'!$E$5:$E$24,MATCH(B448,'Product Summary'!$B$5:$B$24,0)),2)</f>
        <v>7457.4</v>
      </c>
      <c r="J448" s="6" t="n">
        <f aca="false">C448*H448</f>
        <v>62145</v>
      </c>
    </row>
    <row r="449" customFormat="false" ht="15" hidden="false" customHeight="false" outlineLevel="0" collapsed="false">
      <c r="A449" s="2" t="n">
        <v>448</v>
      </c>
      <c r="B449" s="3" t="s">
        <v>43</v>
      </c>
      <c r="C449" s="4" t="n">
        <v>11830</v>
      </c>
      <c r="D449" s="5" t="n">
        <v>46294</v>
      </c>
      <c r="E449" s="3" t="s">
        <v>97</v>
      </c>
      <c r="F449" s="2" t="str">
        <f aca="false">TEXT(D449,"mmmm")</f>
        <v>September</v>
      </c>
      <c r="G449" s="2" t="str">
        <f aca="false">INDEX('Product Summary'!$A$5:$A$24,MATCH(B449,'Product Summary'!$B$5:$B$24,0))</f>
        <v>PRD-1015</v>
      </c>
      <c r="H449" s="2" t="n">
        <v>3</v>
      </c>
      <c r="I449" s="6" t="n">
        <f aca="false">ROUND(J449*INDEX('Product Summary'!$E$5:$E$24,MATCH(B449,'Product Summary'!$B$5:$B$24,0)),2)</f>
        <v>7098</v>
      </c>
      <c r="J449" s="6" t="n">
        <f aca="false">C449*H449</f>
        <v>35490</v>
      </c>
    </row>
    <row r="450" customFormat="false" ht="15" hidden="false" customHeight="false" outlineLevel="0" collapsed="false">
      <c r="A450" s="2" t="n">
        <v>449</v>
      </c>
      <c r="B450" s="3" t="s">
        <v>25</v>
      </c>
      <c r="C450" s="4" t="n">
        <v>17705</v>
      </c>
      <c r="D450" s="5" t="n">
        <v>46294</v>
      </c>
      <c r="E450" s="3" t="s">
        <v>74</v>
      </c>
      <c r="F450" s="2" t="str">
        <f aca="false">TEXT(D450,"mmmm")</f>
        <v>September</v>
      </c>
      <c r="G450" s="2" t="str">
        <f aca="false">INDEX('Product Summary'!$A$5:$A$24,MATCH(B450,'Product Summary'!$B$5:$B$24,0))</f>
        <v>PRD-1016</v>
      </c>
      <c r="H450" s="2" t="n">
        <v>1</v>
      </c>
      <c r="I450" s="6" t="n">
        <f aca="false">ROUND(J450*INDEX('Product Summary'!$E$5:$E$24,MATCH(B450,'Product Summary'!$B$5:$B$24,0)),2)</f>
        <v>3363.95</v>
      </c>
      <c r="J450" s="6" t="n">
        <f aca="false">C450*H450</f>
        <v>17705</v>
      </c>
    </row>
    <row r="451" customFormat="false" ht="15" hidden="false" customHeight="false" outlineLevel="0" collapsed="false">
      <c r="A451" s="2" t="n">
        <v>450</v>
      </c>
      <c r="B451" s="3" t="s">
        <v>29</v>
      </c>
      <c r="C451" s="4" t="n">
        <v>9425</v>
      </c>
      <c r="D451" s="5" t="n">
        <v>46297</v>
      </c>
      <c r="E451" s="3" t="s">
        <v>103</v>
      </c>
      <c r="F451" s="2" t="str">
        <f aca="false">TEXT(D451,"mmmm")</f>
        <v>October</v>
      </c>
      <c r="G451" s="2" t="str">
        <f aca="false">INDEX('Product Summary'!$A$5:$A$24,MATCH(B451,'Product Summary'!$B$5:$B$24,0))</f>
        <v>PRD-1018</v>
      </c>
      <c r="H451" s="2" t="n">
        <v>1</v>
      </c>
      <c r="I451" s="6" t="n">
        <f aca="false">ROUND(J451*INDEX('Product Summary'!$E$5:$E$24,MATCH(B451,'Product Summary'!$B$5:$B$24,0)),2)</f>
        <v>1979.25</v>
      </c>
      <c r="J451" s="6" t="n">
        <f aca="false">C451*H451</f>
        <v>9425</v>
      </c>
    </row>
    <row r="452" customFormat="false" ht="15" hidden="false" customHeight="false" outlineLevel="0" collapsed="false">
      <c r="A452" s="2" t="n">
        <v>451</v>
      </c>
      <c r="B452" s="3" t="s">
        <v>12</v>
      </c>
      <c r="C452" s="4" t="n">
        <v>750</v>
      </c>
      <c r="D452" s="5" t="n">
        <v>46298</v>
      </c>
      <c r="E452" s="3" t="s">
        <v>76</v>
      </c>
      <c r="F452" s="2" t="str">
        <f aca="false">TEXT(D452,"mmmm")</f>
        <v>October</v>
      </c>
      <c r="G452" s="2" t="str">
        <f aca="false">INDEX('Product Summary'!$A$5:$A$24,MATCH(B452,'Product Summary'!$B$5:$B$24,0))</f>
        <v>PRD-1001</v>
      </c>
      <c r="H452" s="2" t="n">
        <v>10</v>
      </c>
      <c r="I452" s="6" t="n">
        <f aca="false">ROUND(J452*INDEX('Product Summary'!$E$5:$E$24,MATCH(B452,'Product Summary'!$B$5:$B$24,0)),2)</f>
        <v>2400</v>
      </c>
      <c r="J452" s="6" t="n">
        <f aca="false">C452*H452</f>
        <v>7500</v>
      </c>
    </row>
    <row r="453" customFormat="false" ht="15" hidden="false" customHeight="false" outlineLevel="0" collapsed="false">
      <c r="A453" s="2" t="n">
        <v>452</v>
      </c>
      <c r="B453" s="3" t="s">
        <v>27</v>
      </c>
      <c r="C453" s="4" t="n">
        <v>2400</v>
      </c>
      <c r="D453" s="5" t="n">
        <v>46298</v>
      </c>
      <c r="E453" s="3" t="s">
        <v>58</v>
      </c>
      <c r="F453" s="2" t="str">
        <f aca="false">TEXT(D453,"mmmm")</f>
        <v>October</v>
      </c>
      <c r="G453" s="2" t="str">
        <f aca="false">INDEX('Product Summary'!$A$5:$A$24,MATCH(B453,'Product Summary'!$B$5:$B$24,0))</f>
        <v>PRD-1004</v>
      </c>
      <c r="H453" s="2" t="n">
        <v>6</v>
      </c>
      <c r="I453" s="6" t="n">
        <f aca="false">ROUND(J453*INDEX('Product Summary'!$E$5:$E$24,MATCH(B453,'Product Summary'!$B$5:$B$24,0)),2)</f>
        <v>4320</v>
      </c>
      <c r="J453" s="6" t="n">
        <f aca="false">C453*H453</f>
        <v>14400</v>
      </c>
    </row>
    <row r="454" customFormat="false" ht="15" hidden="false" customHeight="false" outlineLevel="0" collapsed="false">
      <c r="A454" s="2" t="n">
        <v>453</v>
      </c>
      <c r="B454" s="3" t="s">
        <v>48</v>
      </c>
      <c r="C454" s="4" t="n">
        <v>3840</v>
      </c>
      <c r="D454" s="5" t="n">
        <v>46299</v>
      </c>
      <c r="E454" s="3" t="s">
        <v>56</v>
      </c>
      <c r="F454" s="2" t="str">
        <f aca="false">TEXT(D454,"mmmm")</f>
        <v>October</v>
      </c>
      <c r="G454" s="2" t="str">
        <f aca="false">INDEX('Product Summary'!$A$5:$A$24,MATCH(B454,'Product Summary'!$B$5:$B$24,0))</f>
        <v>PRD-1013</v>
      </c>
      <c r="H454" s="2" t="n">
        <v>5</v>
      </c>
      <c r="I454" s="6" t="n">
        <f aca="false">ROUND(J454*INDEX('Product Summary'!$E$5:$E$24,MATCH(B454,'Product Summary'!$B$5:$B$24,0)),2)</f>
        <v>4608</v>
      </c>
      <c r="J454" s="6" t="n">
        <f aca="false">C454*H454</f>
        <v>19200</v>
      </c>
    </row>
    <row r="455" customFormat="false" ht="15" hidden="false" customHeight="false" outlineLevel="0" collapsed="false">
      <c r="A455" s="2" t="n">
        <v>454</v>
      </c>
      <c r="B455" s="3" t="s">
        <v>60</v>
      </c>
      <c r="C455" s="4" t="n">
        <v>5560</v>
      </c>
      <c r="D455" s="5" t="n">
        <v>46299</v>
      </c>
      <c r="E455" s="3" t="s">
        <v>32</v>
      </c>
      <c r="F455" s="2" t="str">
        <f aca="false">TEXT(D455,"mmmm")</f>
        <v>October</v>
      </c>
      <c r="G455" s="2" t="str">
        <f aca="false">INDEX('Product Summary'!$A$5:$A$24,MATCH(B455,'Product Summary'!$B$5:$B$24,0))</f>
        <v>PRD-1009</v>
      </c>
      <c r="H455" s="2" t="n">
        <v>2</v>
      </c>
      <c r="I455" s="6" t="n">
        <f aca="false">ROUND(J455*INDEX('Product Summary'!$E$5:$E$24,MATCH(B455,'Product Summary'!$B$5:$B$24,0)),2)</f>
        <v>2446.4</v>
      </c>
      <c r="J455" s="6" t="n">
        <f aca="false">C455*H455</f>
        <v>11120</v>
      </c>
    </row>
    <row r="456" customFormat="false" ht="15" hidden="false" customHeight="false" outlineLevel="0" collapsed="false">
      <c r="A456" s="2" t="n">
        <v>455</v>
      </c>
      <c r="B456" s="3" t="s">
        <v>14</v>
      </c>
      <c r="C456" s="4" t="n">
        <v>3000</v>
      </c>
      <c r="D456" s="5" t="n">
        <v>46299</v>
      </c>
      <c r="E456" s="3" t="s">
        <v>123</v>
      </c>
      <c r="F456" s="2" t="str">
        <f aca="false">TEXT(D456,"mmmm")</f>
        <v>October</v>
      </c>
      <c r="G456" s="2" t="str">
        <f aca="false">INDEX('Product Summary'!$A$5:$A$24,MATCH(B456,'Product Summary'!$B$5:$B$24,0))</f>
        <v>PRD-1005</v>
      </c>
      <c r="H456" s="2" t="n">
        <v>5</v>
      </c>
      <c r="I456" s="6" t="n">
        <f aca="false">ROUND(J456*INDEX('Product Summary'!$E$5:$E$24,MATCH(B456,'Product Summary'!$B$5:$B$24,0)),2)</f>
        <v>3900</v>
      </c>
      <c r="J456" s="6" t="n">
        <f aca="false">C456*H456</f>
        <v>15000</v>
      </c>
    </row>
    <row r="457" customFormat="false" ht="15" hidden="false" customHeight="false" outlineLevel="0" collapsed="false">
      <c r="A457" s="2" t="n">
        <v>456</v>
      </c>
      <c r="B457" s="3" t="s">
        <v>48</v>
      </c>
      <c r="C457" s="4" t="n">
        <v>3940</v>
      </c>
      <c r="D457" s="5" t="n">
        <v>46299</v>
      </c>
      <c r="E457" s="3" t="s">
        <v>59</v>
      </c>
      <c r="F457" s="2" t="str">
        <f aca="false">TEXT(D457,"mmmm")</f>
        <v>October</v>
      </c>
      <c r="G457" s="2" t="str">
        <f aca="false">INDEX('Product Summary'!$A$5:$A$24,MATCH(B457,'Product Summary'!$B$5:$B$24,0))</f>
        <v>PRD-1013</v>
      </c>
      <c r="H457" s="2" t="n">
        <v>4</v>
      </c>
      <c r="I457" s="6" t="n">
        <f aca="false">ROUND(J457*INDEX('Product Summary'!$E$5:$E$24,MATCH(B457,'Product Summary'!$B$5:$B$24,0)),2)</f>
        <v>3782.4</v>
      </c>
      <c r="J457" s="6" t="n">
        <f aca="false">C457*H457</f>
        <v>15760</v>
      </c>
    </row>
    <row r="458" customFormat="false" ht="15" hidden="false" customHeight="false" outlineLevel="0" collapsed="false">
      <c r="A458" s="2" t="n">
        <v>457</v>
      </c>
      <c r="B458" s="3" t="s">
        <v>20</v>
      </c>
      <c r="C458" s="4" t="n">
        <v>18440</v>
      </c>
      <c r="D458" s="5" t="n">
        <v>46299</v>
      </c>
      <c r="E458" s="3" t="s">
        <v>133</v>
      </c>
      <c r="F458" s="2" t="str">
        <f aca="false">TEXT(D458,"mmmm")</f>
        <v>October</v>
      </c>
      <c r="G458" s="2" t="str">
        <f aca="false">INDEX('Product Summary'!$A$5:$A$24,MATCH(B458,'Product Summary'!$B$5:$B$24,0))</f>
        <v>PRD-1019</v>
      </c>
      <c r="H458" s="2" t="n">
        <v>1</v>
      </c>
      <c r="I458" s="6" t="n">
        <f aca="false">ROUND(J458*INDEX('Product Summary'!$E$5:$E$24,MATCH(B458,'Product Summary'!$B$5:$B$24,0)),2)</f>
        <v>2212.8</v>
      </c>
      <c r="J458" s="6" t="n">
        <f aca="false">C458*H458</f>
        <v>18440</v>
      </c>
    </row>
    <row r="459" customFormat="false" ht="15" hidden="false" customHeight="false" outlineLevel="0" collapsed="false">
      <c r="A459" s="2" t="n">
        <v>458</v>
      </c>
      <c r="B459" s="3" t="s">
        <v>64</v>
      </c>
      <c r="C459" s="4" t="n">
        <v>12705</v>
      </c>
      <c r="D459" s="5" t="n">
        <v>46299</v>
      </c>
      <c r="E459" s="3" t="s">
        <v>62</v>
      </c>
      <c r="F459" s="2" t="str">
        <f aca="false">TEXT(D459,"mmmm")</f>
        <v>October</v>
      </c>
      <c r="G459" s="2" t="str">
        <f aca="false">INDEX('Product Summary'!$A$5:$A$24,MATCH(B459,'Product Summary'!$B$5:$B$24,0))</f>
        <v>PRD-1014</v>
      </c>
      <c r="H459" s="2" t="n">
        <v>1</v>
      </c>
      <c r="I459" s="6" t="n">
        <f aca="false">ROUND(J459*INDEX('Product Summary'!$E$5:$E$24,MATCH(B459,'Product Summary'!$B$5:$B$24,0)),2)</f>
        <v>2032.8</v>
      </c>
      <c r="J459" s="6" t="n">
        <f aca="false">C459*H459</f>
        <v>12705</v>
      </c>
    </row>
    <row r="460" customFormat="false" ht="15" hidden="false" customHeight="false" outlineLevel="0" collapsed="false">
      <c r="A460" s="2" t="n">
        <v>459</v>
      </c>
      <c r="B460" s="3" t="s">
        <v>34</v>
      </c>
      <c r="C460" s="4" t="n">
        <v>2045</v>
      </c>
      <c r="D460" s="5" t="n">
        <v>46300</v>
      </c>
      <c r="E460" s="3" t="s">
        <v>70</v>
      </c>
      <c r="F460" s="2" t="str">
        <f aca="false">TEXT(D460,"mmmm")</f>
        <v>October</v>
      </c>
      <c r="G460" s="2" t="str">
        <f aca="false">INDEX('Product Summary'!$A$5:$A$24,MATCH(B460,'Product Summary'!$B$5:$B$24,0))</f>
        <v>PRD-1006</v>
      </c>
      <c r="H460" s="2" t="n">
        <v>3</v>
      </c>
      <c r="I460" s="6" t="n">
        <f aca="false">ROUND(J460*INDEX('Product Summary'!$E$5:$E$24,MATCH(B460,'Product Summary'!$B$5:$B$24,0)),2)</f>
        <v>1656.45</v>
      </c>
      <c r="J460" s="6" t="n">
        <f aca="false">C460*H460</f>
        <v>6135</v>
      </c>
    </row>
    <row r="461" customFormat="false" ht="15" hidden="false" customHeight="false" outlineLevel="0" collapsed="false">
      <c r="A461" s="2" t="n">
        <v>460</v>
      </c>
      <c r="B461" s="3" t="s">
        <v>64</v>
      </c>
      <c r="C461" s="4" t="n">
        <v>11970</v>
      </c>
      <c r="D461" s="5" t="n">
        <v>46301</v>
      </c>
      <c r="E461" s="3" t="s">
        <v>130</v>
      </c>
      <c r="F461" s="2" t="str">
        <f aca="false">TEXT(D461,"mmmm")</f>
        <v>October</v>
      </c>
      <c r="G461" s="2" t="str">
        <f aca="false">INDEX('Product Summary'!$A$5:$A$24,MATCH(B461,'Product Summary'!$B$5:$B$24,0))</f>
        <v>PRD-1014</v>
      </c>
      <c r="H461" s="2" t="n">
        <v>3</v>
      </c>
      <c r="I461" s="6" t="n">
        <f aca="false">ROUND(J461*INDEX('Product Summary'!$E$5:$E$24,MATCH(B461,'Product Summary'!$B$5:$B$24,0)),2)</f>
        <v>5745.6</v>
      </c>
      <c r="J461" s="6" t="n">
        <f aca="false">C461*H461</f>
        <v>35910</v>
      </c>
    </row>
    <row r="462" customFormat="false" ht="15" hidden="false" customHeight="false" outlineLevel="0" collapsed="false">
      <c r="A462" s="2" t="n">
        <v>461</v>
      </c>
      <c r="B462" s="3" t="s">
        <v>12</v>
      </c>
      <c r="C462" s="4" t="n">
        <v>775</v>
      </c>
      <c r="D462" s="5" t="n">
        <v>46302</v>
      </c>
      <c r="E462" s="3" t="s">
        <v>53</v>
      </c>
      <c r="F462" s="2" t="str">
        <f aca="false">TEXT(D462,"mmmm")</f>
        <v>October</v>
      </c>
      <c r="G462" s="2" t="str">
        <f aca="false">INDEX('Product Summary'!$A$5:$A$24,MATCH(B462,'Product Summary'!$B$5:$B$24,0))</f>
        <v>PRD-1001</v>
      </c>
      <c r="H462" s="2" t="n">
        <v>1</v>
      </c>
      <c r="I462" s="6" t="n">
        <f aca="false">ROUND(J462*INDEX('Product Summary'!$E$5:$E$24,MATCH(B462,'Product Summary'!$B$5:$B$24,0)),2)</f>
        <v>248</v>
      </c>
      <c r="J462" s="6" t="n">
        <f aca="false">C462*H462</f>
        <v>775</v>
      </c>
    </row>
    <row r="463" customFormat="false" ht="15" hidden="false" customHeight="false" outlineLevel="0" collapsed="false">
      <c r="A463" s="2" t="n">
        <v>462</v>
      </c>
      <c r="B463" s="3" t="s">
        <v>20</v>
      </c>
      <c r="C463" s="4" t="n">
        <v>18505</v>
      </c>
      <c r="D463" s="5" t="n">
        <v>46302</v>
      </c>
      <c r="E463" s="3" t="s">
        <v>103</v>
      </c>
      <c r="F463" s="2" t="str">
        <f aca="false">TEXT(D463,"mmmm")</f>
        <v>October</v>
      </c>
      <c r="G463" s="2" t="str">
        <f aca="false">INDEX('Product Summary'!$A$5:$A$24,MATCH(B463,'Product Summary'!$B$5:$B$24,0))</f>
        <v>PRD-1019</v>
      </c>
      <c r="H463" s="2" t="n">
        <v>1</v>
      </c>
      <c r="I463" s="6" t="n">
        <f aca="false">ROUND(J463*INDEX('Product Summary'!$E$5:$E$24,MATCH(B463,'Product Summary'!$B$5:$B$24,0)),2)</f>
        <v>2220.6</v>
      </c>
      <c r="J463" s="6" t="n">
        <f aca="false">C463*H463</f>
        <v>18505</v>
      </c>
    </row>
    <row r="464" customFormat="false" ht="15" hidden="false" customHeight="false" outlineLevel="0" collapsed="false">
      <c r="A464" s="2" t="n">
        <v>463</v>
      </c>
      <c r="B464" s="3" t="s">
        <v>104</v>
      </c>
      <c r="C464" s="4" t="n">
        <v>8425</v>
      </c>
      <c r="D464" s="5" t="n">
        <v>46302</v>
      </c>
      <c r="E464" s="3" t="s">
        <v>110</v>
      </c>
      <c r="F464" s="2" t="str">
        <f aca="false">TEXT(D464,"mmmm")</f>
        <v>October</v>
      </c>
      <c r="G464" s="2" t="str">
        <f aca="false">INDEX('Product Summary'!$A$5:$A$24,MATCH(B464,'Product Summary'!$B$5:$B$24,0))</f>
        <v>PRD-1012</v>
      </c>
      <c r="H464" s="2" t="n">
        <v>4</v>
      </c>
      <c r="I464" s="6" t="n">
        <f aca="false">ROUND(J464*INDEX('Product Summary'!$E$5:$E$24,MATCH(B464,'Product Summary'!$B$5:$B$24,0)),2)</f>
        <v>6066</v>
      </c>
      <c r="J464" s="6" t="n">
        <f aca="false">C464*H464</f>
        <v>33700</v>
      </c>
    </row>
    <row r="465" customFormat="false" ht="15" hidden="false" customHeight="false" outlineLevel="0" collapsed="false">
      <c r="A465" s="2" t="n">
        <v>464</v>
      </c>
      <c r="B465" s="3" t="s">
        <v>37</v>
      </c>
      <c r="C465" s="4" t="n">
        <v>2885</v>
      </c>
      <c r="D465" s="5" t="n">
        <v>46303</v>
      </c>
      <c r="E465" s="3" t="s">
        <v>113</v>
      </c>
      <c r="F465" s="2" t="str">
        <f aca="false">TEXT(D465,"mmmm")</f>
        <v>October</v>
      </c>
      <c r="G465" s="2" t="str">
        <f aca="false">INDEX('Product Summary'!$A$5:$A$24,MATCH(B465,'Product Summary'!$B$5:$B$24,0))</f>
        <v>PRD-1007</v>
      </c>
      <c r="H465" s="2" t="n">
        <v>2</v>
      </c>
      <c r="I465" s="6" t="n">
        <f aca="false">ROUND(J465*INDEX('Product Summary'!$E$5:$E$24,MATCH(B465,'Product Summary'!$B$5:$B$24,0)),2)</f>
        <v>1673.3</v>
      </c>
      <c r="J465" s="6" t="n">
        <f aca="false">C465*H465</f>
        <v>5770</v>
      </c>
    </row>
    <row r="466" customFormat="false" ht="15" hidden="false" customHeight="false" outlineLevel="0" collapsed="false">
      <c r="A466" s="2" t="n">
        <v>465</v>
      </c>
      <c r="B466" s="3" t="s">
        <v>45</v>
      </c>
      <c r="C466" s="4" t="n">
        <v>2380</v>
      </c>
      <c r="D466" s="5" t="n">
        <v>46303</v>
      </c>
      <c r="E466" s="3" t="s">
        <v>117</v>
      </c>
      <c r="F466" s="2" t="str">
        <f aca="false">TEXT(D466,"mmmm")</f>
        <v>October</v>
      </c>
      <c r="G466" s="2" t="str">
        <f aca="false">INDEX('Product Summary'!$A$5:$A$24,MATCH(B466,'Product Summary'!$B$5:$B$24,0))</f>
        <v>PRD-1010</v>
      </c>
      <c r="H466" s="2" t="n">
        <v>6</v>
      </c>
      <c r="I466" s="6" t="n">
        <f aca="false">ROUND(J466*INDEX('Product Summary'!$E$5:$E$24,MATCH(B466,'Product Summary'!$B$5:$B$24,0)),2)</f>
        <v>3570</v>
      </c>
      <c r="J466" s="6" t="n">
        <f aca="false">C466*H466</f>
        <v>14280</v>
      </c>
    </row>
    <row r="467" customFormat="false" ht="15" hidden="false" customHeight="false" outlineLevel="0" collapsed="false">
      <c r="A467" s="2" t="n">
        <v>466</v>
      </c>
      <c r="B467" s="3" t="s">
        <v>29</v>
      </c>
      <c r="C467" s="4" t="n">
        <v>9415</v>
      </c>
      <c r="D467" s="5" t="n">
        <v>46304</v>
      </c>
      <c r="E467" s="3" t="s">
        <v>21</v>
      </c>
      <c r="F467" s="2" t="str">
        <f aca="false">TEXT(D467,"mmmm")</f>
        <v>October</v>
      </c>
      <c r="G467" s="2" t="str">
        <f aca="false">INDEX('Product Summary'!$A$5:$A$24,MATCH(B467,'Product Summary'!$B$5:$B$24,0))</f>
        <v>PRD-1018</v>
      </c>
      <c r="H467" s="2" t="n">
        <v>1</v>
      </c>
      <c r="I467" s="6" t="n">
        <f aca="false">ROUND(J467*INDEX('Product Summary'!$E$5:$E$24,MATCH(B467,'Product Summary'!$B$5:$B$24,0)),2)</f>
        <v>1977.15</v>
      </c>
      <c r="J467" s="6" t="n">
        <f aca="false">C467*H467</f>
        <v>9415</v>
      </c>
    </row>
    <row r="468" customFormat="false" ht="15" hidden="false" customHeight="false" outlineLevel="0" collapsed="false">
      <c r="A468" s="2" t="n">
        <v>467</v>
      </c>
      <c r="B468" s="3" t="s">
        <v>22</v>
      </c>
      <c r="C468" s="4" t="n">
        <v>7815</v>
      </c>
      <c r="D468" s="5" t="n">
        <v>46304</v>
      </c>
      <c r="E468" s="3" t="s">
        <v>49</v>
      </c>
      <c r="F468" s="2" t="str">
        <f aca="false">TEXT(D468,"mmmm")</f>
        <v>October</v>
      </c>
      <c r="G468" s="2" t="str">
        <f aca="false">INDEX('Product Summary'!$A$5:$A$24,MATCH(B468,'Product Summary'!$B$5:$B$24,0))</f>
        <v>PRD-1008</v>
      </c>
      <c r="H468" s="2" t="n">
        <v>2</v>
      </c>
      <c r="I468" s="6" t="n">
        <f aca="false">ROUND(J468*INDEX('Product Summary'!$E$5:$E$24,MATCH(B468,'Product Summary'!$B$5:$B$24,0)),2)</f>
        <v>3751.2</v>
      </c>
      <c r="J468" s="6" t="n">
        <f aca="false">C468*H468</f>
        <v>15630</v>
      </c>
    </row>
    <row r="469" customFormat="false" ht="15" hidden="false" customHeight="false" outlineLevel="0" collapsed="false">
      <c r="A469" s="2" t="n">
        <v>468</v>
      </c>
      <c r="B469" s="3" t="s">
        <v>10</v>
      </c>
      <c r="C469" s="4" t="n">
        <v>15925</v>
      </c>
      <c r="D469" s="5" t="n">
        <v>46305</v>
      </c>
      <c r="E469" s="3" t="s">
        <v>132</v>
      </c>
      <c r="F469" s="2" t="str">
        <f aca="false">TEXT(D469,"mmmm")</f>
        <v>October</v>
      </c>
      <c r="G469" s="2" t="str">
        <f aca="false">INDEX('Product Summary'!$A$5:$A$24,MATCH(B469,'Product Summary'!$B$5:$B$24,0))</f>
        <v>PRD-1011</v>
      </c>
      <c r="H469" s="2" t="n">
        <v>3</v>
      </c>
      <c r="I469" s="6" t="n">
        <f aca="false">ROUND(J469*INDEX('Product Summary'!$E$5:$E$24,MATCH(B469,'Product Summary'!$B$5:$B$24,0)),2)</f>
        <v>7166.25</v>
      </c>
      <c r="J469" s="6" t="n">
        <f aca="false">C469*H469</f>
        <v>47775</v>
      </c>
    </row>
    <row r="470" customFormat="false" ht="15" hidden="false" customHeight="false" outlineLevel="0" collapsed="false">
      <c r="A470" s="2" t="n">
        <v>469</v>
      </c>
      <c r="B470" s="3" t="s">
        <v>64</v>
      </c>
      <c r="C470" s="4" t="n">
        <v>13150</v>
      </c>
      <c r="D470" s="5" t="n">
        <v>46305</v>
      </c>
      <c r="E470" s="3" t="s">
        <v>100</v>
      </c>
      <c r="F470" s="2" t="str">
        <f aca="false">TEXT(D470,"mmmm")</f>
        <v>October</v>
      </c>
      <c r="G470" s="2" t="str">
        <f aca="false">INDEX('Product Summary'!$A$5:$A$24,MATCH(B470,'Product Summary'!$B$5:$B$24,0))</f>
        <v>PRD-1014</v>
      </c>
      <c r="H470" s="2" t="n">
        <v>1</v>
      </c>
      <c r="I470" s="6" t="n">
        <f aca="false">ROUND(J470*INDEX('Product Summary'!$E$5:$E$24,MATCH(B470,'Product Summary'!$B$5:$B$24,0)),2)</f>
        <v>2104</v>
      </c>
      <c r="J470" s="6" t="n">
        <f aca="false">C470*H470</f>
        <v>13150</v>
      </c>
    </row>
    <row r="471" customFormat="false" ht="15" hidden="false" customHeight="false" outlineLevel="0" collapsed="false">
      <c r="A471" s="2" t="n">
        <v>470</v>
      </c>
      <c r="B471" s="3" t="s">
        <v>37</v>
      </c>
      <c r="C471" s="4" t="n">
        <v>2950</v>
      </c>
      <c r="D471" s="5" t="n">
        <v>46305</v>
      </c>
      <c r="E471" s="3" t="s">
        <v>65</v>
      </c>
      <c r="F471" s="2" t="str">
        <f aca="false">TEXT(D471,"mmmm")</f>
        <v>October</v>
      </c>
      <c r="G471" s="2" t="str">
        <f aca="false">INDEX('Product Summary'!$A$5:$A$24,MATCH(B471,'Product Summary'!$B$5:$B$24,0))</f>
        <v>PRD-1007</v>
      </c>
      <c r="H471" s="2" t="n">
        <v>6</v>
      </c>
      <c r="I471" s="6" t="n">
        <f aca="false">ROUND(J471*INDEX('Product Summary'!$E$5:$E$24,MATCH(B471,'Product Summary'!$B$5:$B$24,0)),2)</f>
        <v>5133</v>
      </c>
      <c r="J471" s="6" t="n">
        <f aca="false">C471*H471</f>
        <v>17700</v>
      </c>
    </row>
    <row r="472" customFormat="false" ht="15" hidden="false" customHeight="false" outlineLevel="0" collapsed="false">
      <c r="A472" s="2" t="n">
        <v>471</v>
      </c>
      <c r="B472" s="3" t="s">
        <v>18</v>
      </c>
      <c r="C472" s="4" t="n">
        <v>1730</v>
      </c>
      <c r="D472" s="5" t="n">
        <v>46305</v>
      </c>
      <c r="E472" s="3" t="s">
        <v>62</v>
      </c>
      <c r="F472" s="2" t="str">
        <f aca="false">TEXT(D472,"mmmm")</f>
        <v>October</v>
      </c>
      <c r="G472" s="2" t="str">
        <f aca="false">INDEX('Product Summary'!$A$5:$A$24,MATCH(B472,'Product Summary'!$B$5:$B$24,0))</f>
        <v>PRD-1003</v>
      </c>
      <c r="H472" s="2" t="n">
        <v>7</v>
      </c>
      <c r="I472" s="6" t="n">
        <f aca="false">ROUND(J472*INDEX('Product Summary'!$E$5:$E$24,MATCH(B472,'Product Summary'!$B$5:$B$24,0)),2)</f>
        <v>4238.5</v>
      </c>
      <c r="J472" s="6" t="n">
        <f aca="false">C472*H472</f>
        <v>12110</v>
      </c>
    </row>
    <row r="473" customFormat="false" ht="15" hidden="false" customHeight="false" outlineLevel="0" collapsed="false">
      <c r="A473" s="2" t="n">
        <v>472</v>
      </c>
      <c r="B473" s="3" t="s">
        <v>45</v>
      </c>
      <c r="C473" s="4" t="n">
        <v>2535</v>
      </c>
      <c r="D473" s="5" t="n">
        <v>46306</v>
      </c>
      <c r="E473" s="3" t="s">
        <v>133</v>
      </c>
      <c r="F473" s="2" t="str">
        <f aca="false">TEXT(D473,"mmmm")</f>
        <v>October</v>
      </c>
      <c r="G473" s="2" t="str">
        <f aca="false">INDEX('Product Summary'!$A$5:$A$24,MATCH(B473,'Product Summary'!$B$5:$B$24,0))</f>
        <v>PRD-1010</v>
      </c>
      <c r="H473" s="2" t="n">
        <v>1</v>
      </c>
      <c r="I473" s="6" t="n">
        <f aca="false">ROUND(J473*INDEX('Product Summary'!$E$5:$E$24,MATCH(B473,'Product Summary'!$B$5:$B$24,0)),2)</f>
        <v>633.75</v>
      </c>
      <c r="J473" s="6" t="n">
        <f aca="false">C473*H473</f>
        <v>2535</v>
      </c>
    </row>
    <row r="474" customFormat="false" ht="15" hidden="false" customHeight="false" outlineLevel="0" collapsed="false">
      <c r="A474" s="2" t="n">
        <v>473</v>
      </c>
      <c r="B474" s="3" t="s">
        <v>34</v>
      </c>
      <c r="C474" s="4" t="n">
        <v>1935</v>
      </c>
      <c r="D474" s="5" t="n">
        <v>46306</v>
      </c>
      <c r="E474" s="3" t="s">
        <v>24</v>
      </c>
      <c r="F474" s="2" t="str">
        <f aca="false">TEXT(D474,"mmmm")</f>
        <v>October</v>
      </c>
      <c r="G474" s="2" t="str">
        <f aca="false">INDEX('Product Summary'!$A$5:$A$24,MATCH(B474,'Product Summary'!$B$5:$B$24,0))</f>
        <v>PRD-1006</v>
      </c>
      <c r="H474" s="2" t="n">
        <v>3</v>
      </c>
      <c r="I474" s="6" t="n">
        <f aca="false">ROUND(J474*INDEX('Product Summary'!$E$5:$E$24,MATCH(B474,'Product Summary'!$B$5:$B$24,0)),2)</f>
        <v>1567.35</v>
      </c>
      <c r="J474" s="6" t="n">
        <f aca="false">C474*H474</f>
        <v>5805</v>
      </c>
    </row>
    <row r="475" customFormat="false" ht="15" hidden="false" customHeight="false" outlineLevel="0" collapsed="false">
      <c r="A475" s="2" t="n">
        <v>474</v>
      </c>
      <c r="B475" s="3" t="s">
        <v>12</v>
      </c>
      <c r="C475" s="4" t="n">
        <v>795</v>
      </c>
      <c r="D475" s="5" t="n">
        <v>46306</v>
      </c>
      <c r="E475" s="3" t="s">
        <v>85</v>
      </c>
      <c r="F475" s="2" t="str">
        <f aca="false">TEXT(D475,"mmmm")</f>
        <v>October</v>
      </c>
      <c r="G475" s="2" t="str">
        <f aca="false">INDEX('Product Summary'!$A$5:$A$24,MATCH(B475,'Product Summary'!$B$5:$B$24,0))</f>
        <v>PRD-1001</v>
      </c>
      <c r="H475" s="2" t="n">
        <v>2</v>
      </c>
      <c r="I475" s="6" t="n">
        <f aca="false">ROUND(J475*INDEX('Product Summary'!$E$5:$E$24,MATCH(B475,'Product Summary'!$B$5:$B$24,0)),2)</f>
        <v>508.8</v>
      </c>
      <c r="J475" s="6" t="n">
        <f aca="false">C475*H475</f>
        <v>1590</v>
      </c>
    </row>
    <row r="476" customFormat="false" ht="15" hidden="false" customHeight="false" outlineLevel="0" collapsed="false">
      <c r="A476" s="2" t="n">
        <v>475</v>
      </c>
      <c r="B476" s="3" t="s">
        <v>37</v>
      </c>
      <c r="C476" s="4" t="n">
        <v>2810</v>
      </c>
      <c r="D476" s="5" t="n">
        <v>46306</v>
      </c>
      <c r="E476" s="3" t="s">
        <v>103</v>
      </c>
      <c r="F476" s="2" t="str">
        <f aca="false">TEXT(D476,"mmmm")</f>
        <v>October</v>
      </c>
      <c r="G476" s="2" t="str">
        <f aca="false">INDEX('Product Summary'!$A$5:$A$24,MATCH(B476,'Product Summary'!$B$5:$B$24,0))</f>
        <v>PRD-1007</v>
      </c>
      <c r="H476" s="2" t="n">
        <v>1</v>
      </c>
      <c r="I476" s="6" t="n">
        <f aca="false">ROUND(J476*INDEX('Product Summary'!$E$5:$E$24,MATCH(B476,'Product Summary'!$B$5:$B$24,0)),2)</f>
        <v>814.9</v>
      </c>
      <c r="J476" s="6" t="n">
        <f aca="false">C476*H476</f>
        <v>2810</v>
      </c>
    </row>
    <row r="477" customFormat="false" ht="15" hidden="false" customHeight="false" outlineLevel="0" collapsed="false">
      <c r="A477" s="2" t="n">
        <v>476</v>
      </c>
      <c r="B477" s="3" t="s">
        <v>12</v>
      </c>
      <c r="C477" s="4" t="n">
        <v>835</v>
      </c>
      <c r="D477" s="5" t="n">
        <v>46306</v>
      </c>
      <c r="E477" s="3" t="s">
        <v>17</v>
      </c>
      <c r="F477" s="2" t="str">
        <f aca="false">TEXT(D477,"mmmm")</f>
        <v>October</v>
      </c>
      <c r="G477" s="2" t="str">
        <f aca="false">INDEX('Product Summary'!$A$5:$A$24,MATCH(B477,'Product Summary'!$B$5:$B$24,0))</f>
        <v>PRD-1001</v>
      </c>
      <c r="H477" s="2" t="n">
        <v>7</v>
      </c>
      <c r="I477" s="6" t="n">
        <f aca="false">ROUND(J477*INDEX('Product Summary'!$E$5:$E$24,MATCH(B477,'Product Summary'!$B$5:$B$24,0)),2)</f>
        <v>1870.4</v>
      </c>
      <c r="J477" s="6" t="n">
        <f aca="false">C477*H477</f>
        <v>5845</v>
      </c>
    </row>
    <row r="478" customFormat="false" ht="15" hidden="false" customHeight="false" outlineLevel="0" collapsed="false">
      <c r="A478" s="2" t="n">
        <v>477</v>
      </c>
      <c r="B478" s="3" t="s">
        <v>104</v>
      </c>
      <c r="C478" s="4" t="n">
        <v>8790</v>
      </c>
      <c r="D478" s="5" t="n">
        <v>46306</v>
      </c>
      <c r="E478" s="3" t="s">
        <v>102</v>
      </c>
      <c r="F478" s="2" t="str">
        <f aca="false">TEXT(D478,"mmmm")</f>
        <v>October</v>
      </c>
      <c r="G478" s="2" t="str">
        <f aca="false">INDEX('Product Summary'!$A$5:$A$24,MATCH(B478,'Product Summary'!$B$5:$B$24,0))</f>
        <v>PRD-1012</v>
      </c>
      <c r="H478" s="2" t="n">
        <v>4</v>
      </c>
      <c r="I478" s="6" t="n">
        <f aca="false">ROUND(J478*INDEX('Product Summary'!$E$5:$E$24,MATCH(B478,'Product Summary'!$B$5:$B$24,0)),2)</f>
        <v>6328.8</v>
      </c>
      <c r="J478" s="6" t="n">
        <f aca="false">C478*H478</f>
        <v>35160</v>
      </c>
    </row>
    <row r="479" customFormat="false" ht="15" hidden="false" customHeight="false" outlineLevel="0" collapsed="false">
      <c r="A479" s="2" t="n">
        <v>478</v>
      </c>
      <c r="B479" s="3" t="s">
        <v>22</v>
      </c>
      <c r="C479" s="4" t="n">
        <v>7975</v>
      </c>
      <c r="D479" s="5" t="n">
        <v>46306</v>
      </c>
      <c r="E479" s="3" t="s">
        <v>127</v>
      </c>
      <c r="F479" s="2" t="str">
        <f aca="false">TEXT(D479,"mmmm")</f>
        <v>October</v>
      </c>
      <c r="G479" s="2" t="str">
        <f aca="false">INDEX('Product Summary'!$A$5:$A$24,MATCH(B479,'Product Summary'!$B$5:$B$24,0))</f>
        <v>PRD-1008</v>
      </c>
      <c r="H479" s="2" t="n">
        <v>1</v>
      </c>
      <c r="I479" s="6" t="n">
        <f aca="false">ROUND(J479*INDEX('Product Summary'!$E$5:$E$24,MATCH(B479,'Product Summary'!$B$5:$B$24,0)),2)</f>
        <v>1914</v>
      </c>
      <c r="J479" s="6" t="n">
        <f aca="false">C479*H479</f>
        <v>7975</v>
      </c>
    </row>
    <row r="480" customFormat="false" ht="15" hidden="false" customHeight="false" outlineLevel="0" collapsed="false">
      <c r="A480" s="2" t="n">
        <v>479</v>
      </c>
      <c r="B480" s="3" t="s">
        <v>104</v>
      </c>
      <c r="C480" s="4" t="n">
        <v>8060</v>
      </c>
      <c r="D480" s="5" t="n">
        <v>46307</v>
      </c>
      <c r="E480" s="3" t="s">
        <v>88</v>
      </c>
      <c r="F480" s="2" t="str">
        <f aca="false">TEXT(D480,"mmmm")</f>
        <v>October</v>
      </c>
      <c r="G480" s="2" t="str">
        <f aca="false">INDEX('Product Summary'!$A$5:$A$24,MATCH(B480,'Product Summary'!$B$5:$B$24,0))</f>
        <v>PRD-1012</v>
      </c>
      <c r="H480" s="2" t="n">
        <v>4</v>
      </c>
      <c r="I480" s="6" t="n">
        <f aca="false">ROUND(J480*INDEX('Product Summary'!$E$5:$E$24,MATCH(B480,'Product Summary'!$B$5:$B$24,0)),2)</f>
        <v>5803.2</v>
      </c>
      <c r="J480" s="6" t="n">
        <f aca="false">C480*H480</f>
        <v>32240</v>
      </c>
    </row>
    <row r="481" customFormat="false" ht="15" hidden="false" customHeight="false" outlineLevel="0" collapsed="false">
      <c r="A481" s="2" t="n">
        <v>480</v>
      </c>
      <c r="B481" s="3" t="s">
        <v>27</v>
      </c>
      <c r="C481" s="4" t="n">
        <v>2215</v>
      </c>
      <c r="D481" s="5" t="n">
        <v>46307</v>
      </c>
      <c r="E481" s="3" t="s">
        <v>58</v>
      </c>
      <c r="F481" s="2" t="str">
        <f aca="false">TEXT(D481,"mmmm")</f>
        <v>October</v>
      </c>
      <c r="G481" s="2" t="str">
        <f aca="false">INDEX('Product Summary'!$A$5:$A$24,MATCH(B481,'Product Summary'!$B$5:$B$24,0))</f>
        <v>PRD-1004</v>
      </c>
      <c r="H481" s="2" t="n">
        <v>1</v>
      </c>
      <c r="I481" s="6" t="n">
        <f aca="false">ROUND(J481*INDEX('Product Summary'!$E$5:$E$24,MATCH(B481,'Product Summary'!$B$5:$B$24,0)),2)</f>
        <v>664.5</v>
      </c>
      <c r="J481" s="6" t="n">
        <f aca="false">C481*H481</f>
        <v>2215</v>
      </c>
    </row>
    <row r="482" customFormat="false" ht="15" hidden="false" customHeight="false" outlineLevel="0" collapsed="false">
      <c r="A482" s="2" t="n">
        <v>481</v>
      </c>
      <c r="B482" s="3" t="s">
        <v>14</v>
      </c>
      <c r="C482" s="4" t="n">
        <v>3050</v>
      </c>
      <c r="D482" s="5" t="n">
        <v>46310</v>
      </c>
      <c r="E482" s="3" t="s">
        <v>44</v>
      </c>
      <c r="F482" s="2" t="str">
        <f aca="false">TEXT(D482,"mmmm")</f>
        <v>October</v>
      </c>
      <c r="G482" s="2" t="str">
        <f aca="false">INDEX('Product Summary'!$A$5:$A$24,MATCH(B482,'Product Summary'!$B$5:$B$24,0))</f>
        <v>PRD-1005</v>
      </c>
      <c r="H482" s="2" t="n">
        <v>5</v>
      </c>
      <c r="I482" s="6" t="n">
        <f aca="false">ROUND(J482*INDEX('Product Summary'!$E$5:$E$24,MATCH(B482,'Product Summary'!$B$5:$B$24,0)),2)</f>
        <v>3965</v>
      </c>
      <c r="J482" s="6" t="n">
        <f aca="false">C482*H482</f>
        <v>15250</v>
      </c>
    </row>
    <row r="483" customFormat="false" ht="15" hidden="false" customHeight="false" outlineLevel="0" collapsed="false">
      <c r="A483" s="2" t="n">
        <v>482</v>
      </c>
      <c r="B483" s="3" t="s">
        <v>18</v>
      </c>
      <c r="C483" s="4" t="n">
        <v>1790</v>
      </c>
      <c r="D483" s="5" t="n">
        <v>46311</v>
      </c>
      <c r="E483" s="3" t="s">
        <v>74</v>
      </c>
      <c r="F483" s="2" t="str">
        <f aca="false">TEXT(D483,"mmmm")</f>
        <v>October</v>
      </c>
      <c r="G483" s="2" t="str">
        <f aca="false">INDEX('Product Summary'!$A$5:$A$24,MATCH(B483,'Product Summary'!$B$5:$B$24,0))</f>
        <v>PRD-1003</v>
      </c>
      <c r="H483" s="2" t="n">
        <v>8</v>
      </c>
      <c r="I483" s="6" t="n">
        <f aca="false">ROUND(J483*INDEX('Product Summary'!$E$5:$E$24,MATCH(B483,'Product Summary'!$B$5:$B$24,0)),2)</f>
        <v>5012</v>
      </c>
      <c r="J483" s="6" t="n">
        <f aca="false">C483*H483</f>
        <v>14320</v>
      </c>
    </row>
    <row r="484" customFormat="false" ht="15" hidden="false" customHeight="false" outlineLevel="0" collapsed="false">
      <c r="A484" s="2" t="n">
        <v>483</v>
      </c>
      <c r="B484" s="3" t="s">
        <v>48</v>
      </c>
      <c r="C484" s="4" t="n">
        <v>4115</v>
      </c>
      <c r="D484" s="5" t="n">
        <v>46311</v>
      </c>
      <c r="E484" s="3" t="s">
        <v>73</v>
      </c>
      <c r="F484" s="2" t="str">
        <f aca="false">TEXT(D484,"mmmm")</f>
        <v>October</v>
      </c>
      <c r="G484" s="2" t="str">
        <f aca="false">INDEX('Product Summary'!$A$5:$A$24,MATCH(B484,'Product Summary'!$B$5:$B$24,0))</f>
        <v>PRD-1013</v>
      </c>
      <c r="H484" s="2" t="n">
        <v>5</v>
      </c>
      <c r="I484" s="6" t="n">
        <f aca="false">ROUND(J484*INDEX('Product Summary'!$E$5:$E$24,MATCH(B484,'Product Summary'!$B$5:$B$24,0)),2)</f>
        <v>4938</v>
      </c>
      <c r="J484" s="6" t="n">
        <f aca="false">C484*H484</f>
        <v>20575</v>
      </c>
    </row>
    <row r="485" customFormat="false" ht="15" hidden="false" customHeight="false" outlineLevel="0" collapsed="false">
      <c r="A485" s="2" t="n">
        <v>484</v>
      </c>
      <c r="B485" s="3" t="s">
        <v>27</v>
      </c>
      <c r="C485" s="4" t="n">
        <v>2370</v>
      </c>
      <c r="D485" s="5" t="n">
        <v>46311</v>
      </c>
      <c r="E485" s="3" t="s">
        <v>101</v>
      </c>
      <c r="F485" s="2" t="str">
        <f aca="false">TEXT(D485,"mmmm")</f>
        <v>October</v>
      </c>
      <c r="G485" s="2" t="str">
        <f aca="false">INDEX('Product Summary'!$A$5:$A$24,MATCH(B485,'Product Summary'!$B$5:$B$24,0))</f>
        <v>PRD-1004</v>
      </c>
      <c r="H485" s="2" t="n">
        <v>2</v>
      </c>
      <c r="I485" s="6" t="n">
        <f aca="false">ROUND(J485*INDEX('Product Summary'!$E$5:$E$24,MATCH(B485,'Product Summary'!$B$5:$B$24,0)),2)</f>
        <v>1422</v>
      </c>
      <c r="J485" s="6" t="n">
        <f aca="false">C485*H485</f>
        <v>4740</v>
      </c>
    </row>
    <row r="486" customFormat="false" ht="15" hidden="false" customHeight="false" outlineLevel="0" collapsed="false">
      <c r="A486" s="2" t="n">
        <v>485</v>
      </c>
      <c r="B486" s="3" t="s">
        <v>12</v>
      </c>
      <c r="C486" s="4" t="n">
        <v>840</v>
      </c>
      <c r="D486" s="5" t="n">
        <v>46311</v>
      </c>
      <c r="E486" s="3" t="s">
        <v>65</v>
      </c>
      <c r="F486" s="2" t="str">
        <f aca="false">TEXT(D486,"mmmm")</f>
        <v>October</v>
      </c>
      <c r="G486" s="2" t="str">
        <f aca="false">INDEX('Product Summary'!$A$5:$A$24,MATCH(B486,'Product Summary'!$B$5:$B$24,0))</f>
        <v>PRD-1001</v>
      </c>
      <c r="H486" s="2" t="n">
        <v>2</v>
      </c>
      <c r="I486" s="6" t="n">
        <f aca="false">ROUND(J486*INDEX('Product Summary'!$E$5:$E$24,MATCH(B486,'Product Summary'!$B$5:$B$24,0)),2)</f>
        <v>537.6</v>
      </c>
      <c r="J486" s="6" t="n">
        <f aca="false">C486*H486</f>
        <v>1680</v>
      </c>
    </row>
    <row r="487" customFormat="false" ht="15" hidden="false" customHeight="false" outlineLevel="0" collapsed="false">
      <c r="A487" s="2" t="n">
        <v>486</v>
      </c>
      <c r="B487" s="3" t="s">
        <v>22</v>
      </c>
      <c r="C487" s="4" t="n">
        <v>7675</v>
      </c>
      <c r="D487" s="5" t="n">
        <v>46312</v>
      </c>
      <c r="E487" s="3" t="s">
        <v>81</v>
      </c>
      <c r="F487" s="2" t="str">
        <f aca="false">TEXT(D487,"mmmm")</f>
        <v>October</v>
      </c>
      <c r="G487" s="2" t="str">
        <f aca="false">INDEX('Product Summary'!$A$5:$A$24,MATCH(B487,'Product Summary'!$B$5:$B$24,0))</f>
        <v>PRD-1008</v>
      </c>
      <c r="H487" s="2" t="n">
        <v>4</v>
      </c>
      <c r="I487" s="6" t="n">
        <f aca="false">ROUND(J487*INDEX('Product Summary'!$E$5:$E$24,MATCH(B487,'Product Summary'!$B$5:$B$24,0)),2)</f>
        <v>7368</v>
      </c>
      <c r="J487" s="6" t="n">
        <f aca="false">C487*H487</f>
        <v>30700</v>
      </c>
    </row>
    <row r="488" customFormat="false" ht="15" hidden="false" customHeight="false" outlineLevel="0" collapsed="false">
      <c r="A488" s="2" t="n">
        <v>487</v>
      </c>
      <c r="B488" s="3" t="s">
        <v>45</v>
      </c>
      <c r="C488" s="4" t="n">
        <v>2305</v>
      </c>
      <c r="D488" s="5" t="n">
        <v>46314</v>
      </c>
      <c r="E488" s="3" t="s">
        <v>30</v>
      </c>
      <c r="F488" s="2" t="str">
        <f aca="false">TEXT(D488,"mmmm")</f>
        <v>October</v>
      </c>
      <c r="G488" s="2" t="str">
        <f aca="false">INDEX('Product Summary'!$A$5:$A$24,MATCH(B488,'Product Summary'!$B$5:$B$24,0))</f>
        <v>PRD-1010</v>
      </c>
      <c r="H488" s="2" t="n">
        <v>2</v>
      </c>
      <c r="I488" s="6" t="n">
        <f aca="false">ROUND(J488*INDEX('Product Summary'!$E$5:$E$24,MATCH(B488,'Product Summary'!$B$5:$B$24,0)),2)</f>
        <v>1152.5</v>
      </c>
      <c r="J488" s="6" t="n">
        <f aca="false">C488*H488</f>
        <v>4610</v>
      </c>
    </row>
    <row r="489" customFormat="false" ht="15" hidden="false" customHeight="false" outlineLevel="0" collapsed="false">
      <c r="A489" s="2" t="n">
        <v>488</v>
      </c>
      <c r="B489" s="3" t="s">
        <v>18</v>
      </c>
      <c r="C489" s="4" t="n">
        <v>1660</v>
      </c>
      <c r="D489" s="5" t="n">
        <v>46315</v>
      </c>
      <c r="E489" s="3" t="s">
        <v>70</v>
      </c>
      <c r="F489" s="2" t="str">
        <f aca="false">TEXT(D489,"mmmm")</f>
        <v>October</v>
      </c>
      <c r="G489" s="2" t="str">
        <f aca="false">INDEX('Product Summary'!$A$5:$A$24,MATCH(B489,'Product Summary'!$B$5:$B$24,0))</f>
        <v>PRD-1003</v>
      </c>
      <c r="H489" s="2" t="n">
        <v>4</v>
      </c>
      <c r="I489" s="6" t="n">
        <f aca="false">ROUND(J489*INDEX('Product Summary'!$E$5:$E$24,MATCH(B489,'Product Summary'!$B$5:$B$24,0)),2)</f>
        <v>2324</v>
      </c>
      <c r="J489" s="6" t="n">
        <f aca="false">C489*H489</f>
        <v>6640</v>
      </c>
    </row>
    <row r="490" customFormat="false" ht="15" hidden="false" customHeight="false" outlineLevel="0" collapsed="false">
      <c r="A490" s="2" t="n">
        <v>489</v>
      </c>
      <c r="B490" s="3" t="s">
        <v>52</v>
      </c>
      <c r="C490" s="4" t="n">
        <v>3430</v>
      </c>
      <c r="D490" s="5" t="n">
        <v>46315</v>
      </c>
      <c r="E490" s="3" t="s">
        <v>77</v>
      </c>
      <c r="F490" s="2" t="str">
        <f aca="false">TEXT(D490,"mmmm")</f>
        <v>October</v>
      </c>
      <c r="G490" s="2" t="str">
        <f aca="false">INDEX('Product Summary'!$A$5:$A$24,MATCH(B490,'Product Summary'!$B$5:$B$24,0))</f>
        <v>PRD-1002</v>
      </c>
      <c r="H490" s="2" t="n">
        <v>5</v>
      </c>
      <c r="I490" s="6" t="n">
        <f aca="false">ROUND(J490*INDEX('Product Summary'!$E$5:$E$24,MATCH(B490,'Product Summary'!$B$5:$B$24,0)),2)</f>
        <v>4802</v>
      </c>
      <c r="J490" s="6" t="n">
        <f aca="false">C490*H490</f>
        <v>17150</v>
      </c>
    </row>
    <row r="491" customFormat="false" ht="15" hidden="false" customHeight="false" outlineLevel="0" collapsed="false">
      <c r="A491" s="2" t="n">
        <v>490</v>
      </c>
      <c r="B491" s="3" t="s">
        <v>48</v>
      </c>
      <c r="C491" s="4" t="n">
        <v>4005</v>
      </c>
      <c r="D491" s="5" t="n">
        <v>46315</v>
      </c>
      <c r="E491" s="3" t="s">
        <v>53</v>
      </c>
      <c r="F491" s="2" t="str">
        <f aca="false">TEXT(D491,"mmmm")</f>
        <v>October</v>
      </c>
      <c r="G491" s="2" t="str">
        <f aca="false">INDEX('Product Summary'!$A$5:$A$24,MATCH(B491,'Product Summary'!$B$5:$B$24,0))</f>
        <v>PRD-1013</v>
      </c>
      <c r="H491" s="2" t="n">
        <v>2</v>
      </c>
      <c r="I491" s="6" t="n">
        <f aca="false">ROUND(J491*INDEX('Product Summary'!$E$5:$E$24,MATCH(B491,'Product Summary'!$B$5:$B$24,0)),2)</f>
        <v>1922.4</v>
      </c>
      <c r="J491" s="6" t="n">
        <f aca="false">C491*H491</f>
        <v>8010</v>
      </c>
    </row>
    <row r="492" customFormat="false" ht="15" hidden="false" customHeight="false" outlineLevel="0" collapsed="false">
      <c r="A492" s="2" t="n">
        <v>491</v>
      </c>
      <c r="B492" s="3" t="s">
        <v>34</v>
      </c>
      <c r="C492" s="4" t="n">
        <v>2035</v>
      </c>
      <c r="D492" s="5" t="n">
        <v>46316</v>
      </c>
      <c r="E492" s="3" t="s">
        <v>62</v>
      </c>
      <c r="F492" s="2" t="str">
        <f aca="false">TEXT(D492,"mmmm")</f>
        <v>October</v>
      </c>
      <c r="G492" s="2" t="str">
        <f aca="false">INDEX('Product Summary'!$A$5:$A$24,MATCH(B492,'Product Summary'!$B$5:$B$24,0))</f>
        <v>PRD-1006</v>
      </c>
      <c r="H492" s="2" t="n">
        <v>8</v>
      </c>
      <c r="I492" s="6" t="n">
        <f aca="false">ROUND(J492*INDEX('Product Summary'!$E$5:$E$24,MATCH(B492,'Product Summary'!$B$5:$B$24,0)),2)</f>
        <v>4395.6</v>
      </c>
      <c r="J492" s="6" t="n">
        <f aca="false">C492*H492</f>
        <v>16280</v>
      </c>
    </row>
    <row r="493" customFormat="false" ht="15" hidden="false" customHeight="false" outlineLevel="0" collapsed="false">
      <c r="A493" s="2" t="n">
        <v>492</v>
      </c>
      <c r="B493" s="3" t="s">
        <v>42</v>
      </c>
      <c r="C493" s="4" t="n">
        <v>1275</v>
      </c>
      <c r="D493" s="5" t="n">
        <v>46317</v>
      </c>
      <c r="E493" s="3" t="s">
        <v>114</v>
      </c>
      <c r="F493" s="2" t="str">
        <f aca="false">TEXT(D493,"mmmm")</f>
        <v>October</v>
      </c>
      <c r="G493" s="2" t="str">
        <f aca="false">INDEX('Product Summary'!$A$5:$A$24,MATCH(B493,'Product Summary'!$B$5:$B$24,0))</f>
        <v>PRD-1017</v>
      </c>
      <c r="H493" s="2" t="n">
        <v>1</v>
      </c>
      <c r="I493" s="6" t="n">
        <f aca="false">ROUND(J493*INDEX('Product Summary'!$E$5:$E$24,MATCH(B493,'Product Summary'!$B$5:$B$24,0)),2)</f>
        <v>484.5</v>
      </c>
      <c r="J493" s="6" t="n">
        <f aca="false">C493*H493</f>
        <v>1275</v>
      </c>
    </row>
    <row r="494" customFormat="false" ht="15" hidden="false" customHeight="false" outlineLevel="0" collapsed="false">
      <c r="A494" s="2" t="n">
        <v>493</v>
      </c>
      <c r="B494" s="3" t="s">
        <v>37</v>
      </c>
      <c r="C494" s="4" t="n">
        <v>2765</v>
      </c>
      <c r="D494" s="5" t="n">
        <v>46318</v>
      </c>
      <c r="E494" s="3" t="s">
        <v>73</v>
      </c>
      <c r="F494" s="2" t="str">
        <f aca="false">TEXT(D494,"mmmm")</f>
        <v>October</v>
      </c>
      <c r="G494" s="2" t="str">
        <f aca="false">INDEX('Product Summary'!$A$5:$A$24,MATCH(B494,'Product Summary'!$B$5:$B$24,0))</f>
        <v>PRD-1007</v>
      </c>
      <c r="H494" s="2" t="n">
        <v>1</v>
      </c>
      <c r="I494" s="6" t="n">
        <f aca="false">ROUND(J494*INDEX('Product Summary'!$E$5:$E$24,MATCH(B494,'Product Summary'!$B$5:$B$24,0)),2)</f>
        <v>801.85</v>
      </c>
      <c r="J494" s="6" t="n">
        <f aca="false">C494*H494</f>
        <v>2765</v>
      </c>
    </row>
    <row r="495" customFormat="false" ht="15" hidden="false" customHeight="false" outlineLevel="0" collapsed="false">
      <c r="A495" s="2" t="n">
        <v>494</v>
      </c>
      <c r="B495" s="3" t="s">
        <v>14</v>
      </c>
      <c r="C495" s="4" t="n">
        <v>2915</v>
      </c>
      <c r="D495" s="5" t="n">
        <v>46318</v>
      </c>
      <c r="E495" s="3" t="s">
        <v>24</v>
      </c>
      <c r="F495" s="2" t="str">
        <f aca="false">TEXT(D495,"mmmm")</f>
        <v>October</v>
      </c>
      <c r="G495" s="2" t="str">
        <f aca="false">INDEX('Product Summary'!$A$5:$A$24,MATCH(B495,'Product Summary'!$B$5:$B$24,0))</f>
        <v>PRD-1005</v>
      </c>
      <c r="H495" s="2" t="n">
        <v>5</v>
      </c>
      <c r="I495" s="6" t="n">
        <f aca="false">ROUND(J495*INDEX('Product Summary'!$E$5:$E$24,MATCH(B495,'Product Summary'!$B$5:$B$24,0)),2)</f>
        <v>3789.5</v>
      </c>
      <c r="J495" s="6" t="n">
        <f aca="false">C495*H495</f>
        <v>14575</v>
      </c>
    </row>
    <row r="496" customFormat="false" ht="15" hidden="false" customHeight="false" outlineLevel="0" collapsed="false">
      <c r="A496" s="2" t="n">
        <v>495</v>
      </c>
      <c r="B496" s="3" t="s">
        <v>29</v>
      </c>
      <c r="C496" s="4" t="n">
        <v>9900</v>
      </c>
      <c r="D496" s="5" t="n">
        <v>46319</v>
      </c>
      <c r="E496" s="3" t="s">
        <v>90</v>
      </c>
      <c r="F496" s="2" t="str">
        <f aca="false">TEXT(D496,"mmmm")</f>
        <v>October</v>
      </c>
      <c r="G496" s="2" t="str">
        <f aca="false">INDEX('Product Summary'!$A$5:$A$24,MATCH(B496,'Product Summary'!$B$5:$B$24,0))</f>
        <v>PRD-1018</v>
      </c>
      <c r="H496" s="2" t="n">
        <v>3</v>
      </c>
      <c r="I496" s="6" t="n">
        <f aca="false">ROUND(J496*INDEX('Product Summary'!$E$5:$E$24,MATCH(B496,'Product Summary'!$B$5:$B$24,0)),2)</f>
        <v>6237</v>
      </c>
      <c r="J496" s="6" t="n">
        <f aca="false">C496*H496</f>
        <v>29700</v>
      </c>
    </row>
    <row r="497" customFormat="false" ht="15" hidden="false" customHeight="false" outlineLevel="0" collapsed="false">
      <c r="A497" s="2" t="n">
        <v>496</v>
      </c>
      <c r="B497" s="3" t="s">
        <v>37</v>
      </c>
      <c r="C497" s="4" t="n">
        <v>3115</v>
      </c>
      <c r="D497" s="5" t="n">
        <v>46319</v>
      </c>
      <c r="E497" s="3" t="s">
        <v>57</v>
      </c>
      <c r="F497" s="2" t="str">
        <f aca="false">TEXT(D497,"mmmm")</f>
        <v>October</v>
      </c>
      <c r="G497" s="2" t="str">
        <f aca="false">INDEX('Product Summary'!$A$5:$A$24,MATCH(B497,'Product Summary'!$B$5:$B$24,0))</f>
        <v>PRD-1007</v>
      </c>
      <c r="H497" s="2" t="n">
        <v>4</v>
      </c>
      <c r="I497" s="6" t="n">
        <f aca="false">ROUND(J497*INDEX('Product Summary'!$E$5:$E$24,MATCH(B497,'Product Summary'!$B$5:$B$24,0)),2)</f>
        <v>3613.4</v>
      </c>
      <c r="J497" s="6" t="n">
        <f aca="false">C497*H497</f>
        <v>12460</v>
      </c>
    </row>
    <row r="498" customFormat="false" ht="15" hidden="false" customHeight="false" outlineLevel="0" collapsed="false">
      <c r="A498" s="2" t="n">
        <v>497</v>
      </c>
      <c r="B498" s="3" t="s">
        <v>31</v>
      </c>
      <c r="C498" s="4" t="n">
        <v>25930</v>
      </c>
      <c r="D498" s="5" t="n">
        <v>46319</v>
      </c>
      <c r="E498" s="3" t="s">
        <v>77</v>
      </c>
      <c r="F498" s="2" t="str">
        <f aca="false">TEXT(D498,"mmmm")</f>
        <v>October</v>
      </c>
      <c r="G498" s="2" t="str">
        <f aca="false">INDEX('Product Summary'!$A$5:$A$24,MATCH(B498,'Product Summary'!$B$5:$B$24,0))</f>
        <v>PRD-1020</v>
      </c>
      <c r="H498" s="2" t="n">
        <v>2</v>
      </c>
      <c r="I498" s="6" t="n">
        <f aca="false">ROUND(J498*INDEX('Product Summary'!$E$5:$E$24,MATCH(B498,'Product Summary'!$B$5:$B$24,0)),2)</f>
        <v>5186</v>
      </c>
      <c r="J498" s="6" t="n">
        <f aca="false">C498*H498</f>
        <v>51860</v>
      </c>
    </row>
    <row r="499" customFormat="false" ht="15" hidden="false" customHeight="false" outlineLevel="0" collapsed="false">
      <c r="A499" s="2" t="n">
        <v>498</v>
      </c>
      <c r="B499" s="3" t="s">
        <v>31</v>
      </c>
      <c r="C499" s="4" t="n">
        <v>25425</v>
      </c>
      <c r="D499" s="5" t="n">
        <v>46320</v>
      </c>
      <c r="E499" s="3" t="s">
        <v>117</v>
      </c>
      <c r="F499" s="2" t="str">
        <f aca="false">TEXT(D499,"mmmm")</f>
        <v>October</v>
      </c>
      <c r="G499" s="2" t="str">
        <f aca="false">INDEX('Product Summary'!$A$5:$A$24,MATCH(B499,'Product Summary'!$B$5:$B$24,0))</f>
        <v>PRD-1020</v>
      </c>
      <c r="H499" s="2" t="n">
        <v>2</v>
      </c>
      <c r="I499" s="6" t="n">
        <f aca="false">ROUND(J499*INDEX('Product Summary'!$E$5:$E$24,MATCH(B499,'Product Summary'!$B$5:$B$24,0)),2)</f>
        <v>5085</v>
      </c>
      <c r="J499" s="6" t="n">
        <f aca="false">C499*H499</f>
        <v>50850</v>
      </c>
    </row>
    <row r="500" customFormat="false" ht="15" hidden="false" customHeight="false" outlineLevel="0" collapsed="false">
      <c r="A500" s="2" t="n">
        <v>499</v>
      </c>
      <c r="B500" s="3" t="s">
        <v>43</v>
      </c>
      <c r="C500" s="4" t="n">
        <v>11485</v>
      </c>
      <c r="D500" s="5" t="n">
        <v>46321</v>
      </c>
      <c r="E500" s="3" t="s">
        <v>132</v>
      </c>
      <c r="F500" s="2" t="str">
        <f aca="false">TEXT(D500,"mmmm")</f>
        <v>October</v>
      </c>
      <c r="G500" s="2" t="str">
        <f aca="false">INDEX('Product Summary'!$A$5:$A$24,MATCH(B500,'Product Summary'!$B$5:$B$24,0))</f>
        <v>PRD-1015</v>
      </c>
      <c r="H500" s="2" t="n">
        <v>3</v>
      </c>
      <c r="I500" s="6" t="n">
        <f aca="false">ROUND(J500*INDEX('Product Summary'!$E$5:$E$24,MATCH(B500,'Product Summary'!$B$5:$B$24,0)),2)</f>
        <v>6891</v>
      </c>
      <c r="J500" s="6" t="n">
        <f aca="false">C500*H500</f>
        <v>34455</v>
      </c>
    </row>
    <row r="501" customFormat="false" ht="15" hidden="false" customHeight="false" outlineLevel="0" collapsed="false">
      <c r="A501" s="2" t="n">
        <v>500</v>
      </c>
      <c r="B501" s="3" t="s">
        <v>104</v>
      </c>
      <c r="C501" s="4" t="n">
        <v>8715</v>
      </c>
      <c r="D501" s="5" t="n">
        <v>46321</v>
      </c>
      <c r="E501" s="3" t="s">
        <v>36</v>
      </c>
      <c r="F501" s="2" t="str">
        <f aca="false">TEXT(D501,"mmmm")</f>
        <v>October</v>
      </c>
      <c r="G501" s="2" t="str">
        <f aca="false">INDEX('Product Summary'!$A$5:$A$24,MATCH(B501,'Product Summary'!$B$5:$B$24,0))</f>
        <v>PRD-1012</v>
      </c>
      <c r="H501" s="2" t="n">
        <v>4</v>
      </c>
      <c r="I501" s="6" t="n">
        <f aca="false">ROUND(J501*INDEX('Product Summary'!$E$5:$E$24,MATCH(B501,'Product Summary'!$B$5:$B$24,0)),2)</f>
        <v>6274.8</v>
      </c>
      <c r="J501" s="6" t="n">
        <f aca="false">C501*H501</f>
        <v>34860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true"/>
  </sheetPr>
  <dimension ref="A1:AB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8"/>
    <col collapsed="false" customWidth="true" hidden="false" outlineLevel="0" max="26" min="26" style="0" width="2"/>
    <col collapsed="false" customWidth="true" hidden="false" outlineLevel="0" max="27" min="27" style="0" width="8"/>
    <col collapsed="false" customWidth="true" hidden="true" outlineLevel="0" max="28" min="28" style="0" width="13"/>
  </cols>
  <sheetData>
    <row r="1" customFormat="false" ht="19.5" hidden="false" customHeight="true" outlineLevel="0" collapsed="false">
      <c r="A1" s="7"/>
      <c r="B1" s="8" t="s">
        <v>139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7"/>
      <c r="AA1" s="3"/>
      <c r="AB1" s="3" t="s">
        <v>140</v>
      </c>
    </row>
    <row r="2" customFormat="false" ht="19.5" hidden="false" customHeight="true" outlineLevel="0" collapsed="false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  <c r="AA2" s="3"/>
      <c r="AB2" s="3" t="str">
        <f aca="false">IF($E$5="All Months","*",$E$5)</f>
        <v>*</v>
      </c>
    </row>
    <row r="3" customFormat="false" ht="18" hidden="false" customHeight="true" outlineLevel="0" collapsed="false">
      <c r="A3" s="7"/>
      <c r="B3" s="9" t="s">
        <v>141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7"/>
      <c r="AA3" s="3"/>
      <c r="AB3" s="3" t="str">
        <f aca="false">IF($M$5="All Products","*",$M$5)</f>
        <v>*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"/>
      <c r="AB4" s="3"/>
    </row>
    <row r="5" customFormat="false" ht="21.75" hidden="false" customHeight="true" outlineLevel="0" collapsed="false">
      <c r="A5" s="7"/>
      <c r="B5" s="10" t="s">
        <v>142</v>
      </c>
      <c r="C5" s="10"/>
      <c r="D5" s="10"/>
      <c r="E5" s="11" t="s">
        <v>143</v>
      </c>
      <c r="F5" s="11"/>
      <c r="G5" s="11"/>
      <c r="H5" s="11"/>
      <c r="I5" s="7"/>
      <c r="J5" s="10" t="s">
        <v>144</v>
      </c>
      <c r="K5" s="10"/>
      <c r="L5" s="10"/>
      <c r="M5" s="11" t="s">
        <v>145</v>
      </c>
      <c r="N5" s="11"/>
      <c r="O5" s="11"/>
      <c r="P5" s="11"/>
      <c r="Q5" s="11"/>
      <c r="R5" s="11"/>
      <c r="S5" s="11"/>
      <c r="T5" s="7"/>
      <c r="U5" s="12" t="s">
        <v>146</v>
      </c>
      <c r="V5" s="12"/>
      <c r="W5" s="12"/>
      <c r="X5" s="12"/>
      <c r="Y5" s="12"/>
      <c r="Z5" s="7"/>
      <c r="AA5" s="3"/>
      <c r="AB5" s="3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"/>
      <c r="AB6" s="3"/>
    </row>
    <row r="7" customFormat="false" ht="19.5" hidden="false" customHeight="true" outlineLevel="0" collapsed="false">
      <c r="A7" s="7"/>
      <c r="B7" s="13" t="s">
        <v>147</v>
      </c>
      <c r="C7" s="13"/>
      <c r="D7" s="13"/>
      <c r="E7" s="13"/>
      <c r="F7" s="7"/>
      <c r="G7" s="14" t="s">
        <v>148</v>
      </c>
      <c r="H7" s="14"/>
      <c r="I7" s="14"/>
      <c r="J7" s="14"/>
      <c r="K7" s="7"/>
      <c r="L7" s="15" t="s">
        <v>149</v>
      </c>
      <c r="M7" s="15"/>
      <c r="N7" s="15"/>
      <c r="O7" s="15"/>
      <c r="P7" s="7"/>
      <c r="Q7" s="16" t="s">
        <v>150</v>
      </c>
      <c r="R7" s="16"/>
      <c r="S7" s="16"/>
      <c r="T7" s="16"/>
      <c r="U7" s="7"/>
      <c r="V7" s="17" t="s">
        <v>151</v>
      </c>
      <c r="W7" s="17"/>
      <c r="X7" s="17"/>
      <c r="Y7" s="17"/>
      <c r="Z7" s="7"/>
      <c r="AA7" s="3"/>
      <c r="AB7" s="3"/>
    </row>
    <row r="8" customFormat="false" ht="24" hidden="false" customHeight="true" outlineLevel="0" collapsed="false">
      <c r="A8" s="7"/>
      <c r="B8" s="18" t="n">
        <f aca="false">SUMIFS('Sales Data'!$J:$J,'Sales Data'!$F:$F,$AB$2,'Sales Data'!$B:$B,$AB$3)</f>
        <v>7970370</v>
      </c>
      <c r="C8" s="18"/>
      <c r="D8" s="18"/>
      <c r="E8" s="18"/>
      <c r="F8" s="7"/>
      <c r="G8" s="19" t="n">
        <f aca="false">SUMIFS('Sales Data'!$I:$I,'Sales Data'!$F:$F,$AB$2,'Sales Data'!$B:$B,$AB$3)</f>
        <v>1652570.5</v>
      </c>
      <c r="H8" s="19"/>
      <c r="I8" s="19"/>
      <c r="J8" s="19"/>
      <c r="K8" s="7"/>
      <c r="L8" s="20" t="n">
        <f aca="false">SUMIFS('Sales Data'!$H:$H,'Sales Data'!$F:$F,$AB$2,'Sales Data'!$B:$B,$AB$3)</f>
        <v>1715</v>
      </c>
      <c r="M8" s="20"/>
      <c r="N8" s="20"/>
      <c r="O8" s="20"/>
      <c r="P8" s="7"/>
      <c r="Q8" s="21" t="n">
        <f aca="false">COUNTIFS('Sales Data'!$A:$A,"&gt;0",'Sales Data'!$F:$F,$AB$2,'Sales Data'!$B:$B,$AB$3)</f>
        <v>500</v>
      </c>
      <c r="R8" s="21"/>
      <c r="S8" s="21"/>
      <c r="T8" s="21"/>
      <c r="U8" s="7"/>
      <c r="V8" s="22" t="n">
        <f aca="false">IFERROR(B8/Q8,0)</f>
        <v>15940.74</v>
      </c>
      <c r="W8" s="22"/>
      <c r="X8" s="22"/>
      <c r="Y8" s="22"/>
      <c r="Z8" s="7"/>
      <c r="AA8" s="3"/>
      <c r="AB8" s="3"/>
    </row>
    <row r="9" customFormat="false" ht="24" hidden="false" customHeight="true" outlineLevel="0" collapsed="false">
      <c r="A9" s="7"/>
      <c r="B9" s="18"/>
      <c r="C9" s="18"/>
      <c r="D9" s="18"/>
      <c r="E9" s="18"/>
      <c r="F9" s="7"/>
      <c r="G9" s="19"/>
      <c r="H9" s="19"/>
      <c r="I9" s="19"/>
      <c r="J9" s="19"/>
      <c r="K9" s="7"/>
      <c r="L9" s="20"/>
      <c r="M9" s="20"/>
      <c r="N9" s="20"/>
      <c r="O9" s="20"/>
      <c r="P9" s="7"/>
      <c r="Q9" s="21"/>
      <c r="R9" s="21"/>
      <c r="S9" s="21"/>
      <c r="T9" s="21"/>
      <c r="U9" s="7"/>
      <c r="V9" s="22"/>
      <c r="W9" s="22"/>
      <c r="X9" s="22"/>
      <c r="Y9" s="22"/>
      <c r="Z9" s="7"/>
      <c r="AA9" s="3"/>
      <c r="AB9" s="3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3"/>
      <c r="AB10" s="3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3"/>
      <c r="AB11" s="3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3"/>
      <c r="AB12" s="3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3"/>
      <c r="AB13" s="3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3"/>
      <c r="AB14" s="3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3"/>
      <c r="AB15" s="3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3"/>
      <c r="AB16" s="3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3"/>
      <c r="AB17" s="3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3"/>
      <c r="AB18" s="3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3"/>
      <c r="AB19" s="3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3"/>
      <c r="AB20" s="3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3"/>
      <c r="AB21" s="3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3"/>
      <c r="AB22" s="3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3"/>
      <c r="AB23" s="3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3"/>
      <c r="AB24" s="3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3"/>
      <c r="AB25" s="3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3"/>
      <c r="AB26" s="3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3"/>
      <c r="AB27" s="3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3"/>
      <c r="AB28" s="3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3"/>
      <c r="AB29" s="3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3"/>
      <c r="AB30" s="3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3"/>
      <c r="AB31" s="3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3"/>
      <c r="AB32" s="3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3"/>
      <c r="AB33" s="3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3"/>
      <c r="AB34" s="3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3"/>
      <c r="AB35" s="3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3"/>
      <c r="AB36" s="3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3"/>
      <c r="AB37" s="3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3"/>
      <c r="AB38" s="3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3"/>
      <c r="AB39" s="3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3"/>
      <c r="AB40" s="3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3"/>
      <c r="AB41" s="3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3"/>
      <c r="AB42" s="3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3"/>
      <c r="AB43" s="3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3"/>
      <c r="AB44" s="3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3"/>
      <c r="AB45" s="3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3"/>
      <c r="AB46" s="3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3"/>
      <c r="AB47" s="3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3"/>
      <c r="AB48" s="3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3"/>
      <c r="AB49" s="3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3"/>
      <c r="AB50" s="3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3"/>
      <c r="AB51" s="3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3"/>
      <c r="AB52" s="3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3"/>
      <c r="AB53" s="3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3"/>
      <c r="AB54" s="3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3"/>
      <c r="AB55" s="3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3"/>
      <c r="AB56" s="3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3"/>
      <c r="AB57" s="3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3"/>
      <c r="AB58" s="3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3"/>
      <c r="AB59" s="3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3"/>
      <c r="AB60" s="3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3"/>
      <c r="AB61" s="3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3"/>
      <c r="AB62" s="3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3"/>
      <c r="AB63" s="3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3"/>
      <c r="AB64" s="3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3"/>
      <c r="AB65" s="3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3"/>
      <c r="AB66" s="3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3"/>
      <c r="AB67" s="3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3"/>
      <c r="AB68" s="3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3"/>
      <c r="AB69" s="3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3"/>
      <c r="AB70" s="3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3"/>
      <c r="AB71" s="3"/>
    </row>
    <row r="72" customFormat="false" ht="24" hidden="false" customHeight="true" outlineLevel="0" collapsed="false">
      <c r="A72" s="7"/>
      <c r="B72" s="23" t="s">
        <v>152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7"/>
      <c r="AA72" s="3"/>
      <c r="AB72" s="3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3"/>
      <c r="AB73" s="3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3"/>
      <c r="AB74" s="3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3"/>
      <c r="AB75" s="3"/>
    </row>
  </sheetData>
  <mergeCells count="18">
    <mergeCell ref="B1:Y2"/>
    <mergeCell ref="B3:Y3"/>
    <mergeCell ref="B5:D5"/>
    <mergeCell ref="E5:H5"/>
    <mergeCell ref="J5:L5"/>
    <mergeCell ref="M5:S5"/>
    <mergeCell ref="U5:Y5"/>
    <mergeCell ref="B7:E7"/>
    <mergeCell ref="G7:J7"/>
    <mergeCell ref="L7:O7"/>
    <mergeCell ref="Q7:T7"/>
    <mergeCell ref="V7:Y7"/>
    <mergeCell ref="B8:E9"/>
    <mergeCell ref="G8:J9"/>
    <mergeCell ref="L8:O9"/>
    <mergeCell ref="Q8:T9"/>
    <mergeCell ref="V8:Y9"/>
    <mergeCell ref="B72:Y72"/>
  </mergeCells>
  <dataValidations count="2">
    <dataValidation allowBlank="false" errorStyle="stop" operator="between" showDropDown="false" showErrorMessage="false" showInputMessage="false" sqref="E5" type="list">
      <formula1>"All Months,November,December,January,February,March,April,May,June,July,August,September,October"</formula1>
      <formula2>0</formula2>
    </dataValidation>
    <dataValidation allowBlank="false" errorStyle="stop" operator="between" showDropDown="false" showErrorMessage="false" showInputMessage="false" sqref="M5" type="list">
      <formula1>'Product Summary'!$S$5:$S$25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5"/>
  </cols>
  <sheetData>
    <row r="1" customFormat="false" ht="19.7" hidden="false" customHeight="false" outlineLevel="0" collapsed="false">
      <c r="A1" s="24" t="s">
        <v>153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25" t="str">
        <f aca="false">"Synthetic sample data (Nov 2025 - Oct 2026)  |  Product filter from Dashboard: "&amp;Dashboard!$M$5&amp;"  (change it on the Dashboard sheet)"</f>
        <v>Synthetic sample data (Nov 2025 - Oct 2026)  |  Product filter from Dashboard: All Products  (change it on the Dashboard sheet)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1" t="s">
        <v>5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  <c r="H4" s="1" t="s">
        <v>160</v>
      </c>
    </row>
    <row r="5" customFormat="false" ht="15" hidden="false" customHeight="false" outlineLevel="0" collapsed="false">
      <c r="A5" s="26" t="s">
        <v>161</v>
      </c>
      <c r="B5" s="27" t="n">
        <f aca="false">COUNTIFS('Sales Data'!$A:$A,"&gt;0",'Sales Data'!$F:$F,$A5,'Sales Data'!$B:$B,Dashboard!$AB$3)</f>
        <v>45</v>
      </c>
      <c r="C5" s="27" t="n">
        <f aca="false">SUMIFS('Sales Data'!$H:$H,'Sales Data'!$F:$F,$A5,'Sales Data'!$B:$B,Dashboard!$AB$3)</f>
        <v>152</v>
      </c>
      <c r="D5" s="28" t="n">
        <f aca="false">SUMIFS('Sales Data'!$J:$J,'Sales Data'!$F:$F,$A5,'Sales Data'!$B:$B,Dashboard!$AB$3)</f>
        <v>783205</v>
      </c>
      <c r="E5" s="28" t="n">
        <f aca="false">SUMIFS('Sales Data'!$I:$I,'Sales Data'!$F:$F,$A5,'Sales Data'!$B:$B,Dashboard!$AB$3)</f>
        <v>154284.6</v>
      </c>
      <c r="F5" s="29" t="n">
        <f aca="false">IFERROR(E5/D5,0)</f>
        <v>0.196991336878595</v>
      </c>
      <c r="G5" s="28" t="n">
        <f aca="false">IFERROR(D5/B5,0)</f>
        <v>17404.5555555556</v>
      </c>
      <c r="H5" s="29" t="n">
        <f aca="false">IFERROR(D5/D$17,0)</f>
        <v>0.0982645724100638</v>
      </c>
    </row>
    <row r="6" customFormat="false" ht="15" hidden="false" customHeight="false" outlineLevel="0" collapsed="false">
      <c r="A6" s="26" t="s">
        <v>162</v>
      </c>
      <c r="B6" s="27" t="n">
        <f aca="false">COUNTIFS('Sales Data'!$A:$A,"&gt;0",'Sales Data'!$F:$F,$A6,'Sales Data'!$B:$B,Dashboard!$AB$3)</f>
        <v>34</v>
      </c>
      <c r="C6" s="27" t="n">
        <f aca="false">SUMIFS('Sales Data'!$H:$H,'Sales Data'!$F:$F,$A6,'Sales Data'!$B:$B,Dashboard!$AB$3)</f>
        <v>109</v>
      </c>
      <c r="D6" s="28" t="n">
        <f aca="false">SUMIFS('Sales Data'!$J:$J,'Sales Data'!$F:$F,$A6,'Sales Data'!$B:$B,Dashboard!$AB$3)</f>
        <v>481020</v>
      </c>
      <c r="E6" s="28" t="n">
        <f aca="false">SUMIFS('Sales Data'!$I:$I,'Sales Data'!$F:$F,$A6,'Sales Data'!$B:$B,Dashboard!$AB$3)</f>
        <v>105710.1</v>
      </c>
      <c r="F6" s="29" t="n">
        <f aca="false">IFERROR(E6/D6,0)</f>
        <v>0.219762379942622</v>
      </c>
      <c r="G6" s="28" t="n">
        <f aca="false">IFERROR(D6/B6,0)</f>
        <v>14147.6470588235</v>
      </c>
      <c r="H6" s="29" t="n">
        <f aca="false">IFERROR(D6/D$17,0)</f>
        <v>0.0603510251092484</v>
      </c>
    </row>
    <row r="7" customFormat="false" ht="15" hidden="false" customHeight="false" outlineLevel="0" collapsed="false">
      <c r="A7" s="26" t="s">
        <v>163</v>
      </c>
      <c r="B7" s="27" t="n">
        <f aca="false">COUNTIFS('Sales Data'!$A:$A,"&gt;0",'Sales Data'!$F:$F,$A7,'Sales Data'!$B:$B,Dashboard!$AB$3)</f>
        <v>41</v>
      </c>
      <c r="C7" s="27" t="n">
        <f aca="false">SUMIFS('Sales Data'!$H:$H,'Sales Data'!$F:$F,$A7,'Sales Data'!$B:$B,Dashboard!$AB$3)</f>
        <v>152</v>
      </c>
      <c r="D7" s="28" t="n">
        <f aca="false">SUMIFS('Sales Data'!$J:$J,'Sales Data'!$F:$F,$A7,'Sales Data'!$B:$B,Dashboard!$AB$3)</f>
        <v>572370</v>
      </c>
      <c r="E7" s="28" t="n">
        <f aca="false">SUMIFS('Sales Data'!$I:$I,'Sales Data'!$F:$F,$A7,'Sales Data'!$B:$B,Dashboard!$AB$3)</f>
        <v>129073.35</v>
      </c>
      <c r="F7" s="29" t="n">
        <f aca="false">IFERROR(E7/D7,0)</f>
        <v>0.225506839981131</v>
      </c>
      <c r="G7" s="28" t="n">
        <f aca="false">IFERROR(D7/B7,0)</f>
        <v>13960.243902439</v>
      </c>
      <c r="H7" s="29" t="n">
        <f aca="false">IFERROR(D7/D$17,0)</f>
        <v>0.0718122245265904</v>
      </c>
    </row>
    <row r="8" customFormat="false" ht="15" hidden="false" customHeight="false" outlineLevel="0" collapsed="false">
      <c r="A8" s="26" t="s">
        <v>164</v>
      </c>
      <c r="B8" s="27" t="n">
        <f aca="false">COUNTIFS('Sales Data'!$A:$A,"&gt;0",'Sales Data'!$F:$F,$A8,'Sales Data'!$B:$B,Dashboard!$AB$3)</f>
        <v>40</v>
      </c>
      <c r="C8" s="27" t="n">
        <f aca="false">SUMIFS('Sales Data'!$H:$H,'Sales Data'!$F:$F,$A8,'Sales Data'!$B:$B,Dashboard!$AB$3)</f>
        <v>130</v>
      </c>
      <c r="D8" s="28" t="n">
        <f aca="false">SUMIFS('Sales Data'!$J:$J,'Sales Data'!$F:$F,$A8,'Sales Data'!$B:$B,Dashboard!$AB$3)</f>
        <v>628830</v>
      </c>
      <c r="E8" s="28" t="n">
        <f aca="false">SUMIFS('Sales Data'!$I:$I,'Sales Data'!$F:$F,$A8,'Sales Data'!$B:$B,Dashboard!$AB$3)</f>
        <v>136316.15</v>
      </c>
      <c r="F8" s="29" t="n">
        <f aca="false">IFERROR(E8/D8,0)</f>
        <v>0.216777427921696</v>
      </c>
      <c r="G8" s="28" t="n">
        <f aca="false">IFERROR(D8/B8,0)</f>
        <v>15720.75</v>
      </c>
      <c r="H8" s="29" t="n">
        <f aca="false">IFERROR(D8/D$17,0)</f>
        <v>0.0788959609152398</v>
      </c>
    </row>
    <row r="9" customFormat="false" ht="15" hidden="false" customHeight="false" outlineLevel="0" collapsed="false">
      <c r="A9" s="26" t="s">
        <v>165</v>
      </c>
      <c r="B9" s="27" t="n">
        <f aca="false">COUNTIFS('Sales Data'!$A:$A,"&gt;0",'Sales Data'!$F:$F,$A9,'Sales Data'!$B:$B,Dashboard!$AB$3)</f>
        <v>32</v>
      </c>
      <c r="C9" s="27" t="n">
        <f aca="false">SUMIFS('Sales Data'!$H:$H,'Sales Data'!$F:$F,$A9,'Sales Data'!$B:$B,Dashboard!$AB$3)</f>
        <v>114</v>
      </c>
      <c r="D9" s="28" t="n">
        <f aca="false">SUMIFS('Sales Data'!$J:$J,'Sales Data'!$F:$F,$A9,'Sales Data'!$B:$B,Dashboard!$AB$3)</f>
        <v>466900</v>
      </c>
      <c r="E9" s="28" t="n">
        <f aca="false">SUMIFS('Sales Data'!$I:$I,'Sales Data'!$F:$F,$A9,'Sales Data'!$B:$B,Dashboard!$AB$3)</f>
        <v>99532.15</v>
      </c>
      <c r="F9" s="29" t="n">
        <f aca="false">IFERROR(E9/D9,0)</f>
        <v>0.21317659027629</v>
      </c>
      <c r="G9" s="28" t="n">
        <f aca="false">IFERROR(D9/B9,0)</f>
        <v>14590.625</v>
      </c>
      <c r="H9" s="29" t="n">
        <f aca="false">IFERROR(D9/D$17,0)</f>
        <v>0.0585794636886368</v>
      </c>
    </row>
    <row r="10" customFormat="false" ht="15" hidden="false" customHeight="false" outlineLevel="0" collapsed="false">
      <c r="A10" s="26" t="s">
        <v>166</v>
      </c>
      <c r="B10" s="27" t="n">
        <f aca="false">COUNTIFS('Sales Data'!$A:$A,"&gt;0",'Sales Data'!$F:$F,$A10,'Sales Data'!$B:$B,Dashboard!$AB$3)</f>
        <v>33</v>
      </c>
      <c r="C10" s="27" t="n">
        <f aca="false">SUMIFS('Sales Data'!$H:$H,'Sales Data'!$F:$F,$A10,'Sales Data'!$B:$B,Dashboard!$AB$3)</f>
        <v>127</v>
      </c>
      <c r="D10" s="28" t="n">
        <f aca="false">SUMIFS('Sales Data'!$J:$J,'Sales Data'!$F:$F,$A10,'Sales Data'!$B:$B,Dashboard!$AB$3)</f>
        <v>554150</v>
      </c>
      <c r="E10" s="28" t="n">
        <f aca="false">SUMIFS('Sales Data'!$I:$I,'Sales Data'!$F:$F,$A10,'Sales Data'!$B:$B,Dashboard!$AB$3)</f>
        <v>112469.9</v>
      </c>
      <c r="F10" s="29" t="n">
        <f aca="false">IFERROR(E10/D10,0)</f>
        <v>0.202959307046828</v>
      </c>
      <c r="G10" s="28" t="n">
        <f aca="false">IFERROR(D10/B10,0)</f>
        <v>16792.4242424242</v>
      </c>
      <c r="H10" s="29" t="n">
        <f aca="false">IFERROR(D10/D$17,0)</f>
        <v>0.0695262578776142</v>
      </c>
    </row>
    <row r="11" customFormat="false" ht="15" hidden="false" customHeight="false" outlineLevel="0" collapsed="false">
      <c r="A11" s="26" t="s">
        <v>167</v>
      </c>
      <c r="B11" s="27" t="n">
        <f aca="false">COUNTIFS('Sales Data'!$A:$A,"&gt;0",'Sales Data'!$F:$F,$A11,'Sales Data'!$B:$B,Dashboard!$AB$3)</f>
        <v>48</v>
      </c>
      <c r="C11" s="27" t="n">
        <f aca="false">SUMIFS('Sales Data'!$H:$H,'Sales Data'!$F:$F,$A11,'Sales Data'!$B:$B,Dashboard!$AB$3)</f>
        <v>170</v>
      </c>
      <c r="D11" s="28" t="n">
        <f aca="false">SUMIFS('Sales Data'!$J:$J,'Sales Data'!$F:$F,$A11,'Sales Data'!$B:$B,Dashboard!$AB$3)</f>
        <v>827635</v>
      </c>
      <c r="E11" s="28" t="n">
        <f aca="false">SUMIFS('Sales Data'!$I:$I,'Sales Data'!$F:$F,$A11,'Sales Data'!$B:$B,Dashboard!$AB$3)</f>
        <v>163684.4</v>
      </c>
      <c r="F11" s="29" t="n">
        <f aca="false">IFERROR(E11/D11,0)</f>
        <v>0.197773656261516</v>
      </c>
      <c r="G11" s="28" t="n">
        <f aca="false">IFERROR(D11/B11,0)</f>
        <v>17242.3958333333</v>
      </c>
      <c r="H11" s="29" t="n">
        <f aca="false">IFERROR(D11/D$17,0)</f>
        <v>0.103838968579878</v>
      </c>
    </row>
    <row r="12" customFormat="false" ht="15" hidden="false" customHeight="false" outlineLevel="0" collapsed="false">
      <c r="A12" s="26" t="s">
        <v>168</v>
      </c>
      <c r="B12" s="27" t="n">
        <f aca="false">COUNTIFS('Sales Data'!$A:$A,"&gt;0",'Sales Data'!$F:$F,$A12,'Sales Data'!$B:$B,Dashboard!$AB$3)</f>
        <v>37</v>
      </c>
      <c r="C12" s="27" t="n">
        <f aca="false">SUMIFS('Sales Data'!$H:$H,'Sales Data'!$F:$F,$A12,'Sales Data'!$B:$B,Dashboard!$AB$3)</f>
        <v>147</v>
      </c>
      <c r="D12" s="28" t="n">
        <f aca="false">SUMIFS('Sales Data'!$J:$J,'Sales Data'!$F:$F,$A12,'Sales Data'!$B:$B,Dashboard!$AB$3)</f>
        <v>577435</v>
      </c>
      <c r="E12" s="28" t="n">
        <f aca="false">SUMIFS('Sales Data'!$I:$I,'Sales Data'!$F:$F,$A12,'Sales Data'!$B:$B,Dashboard!$AB$3)</f>
        <v>131575.95</v>
      </c>
      <c r="F12" s="29" t="n">
        <f aca="false">IFERROR(E12/D12,0)</f>
        <v>0.227862789751227</v>
      </c>
      <c r="G12" s="28" t="n">
        <f aca="false">IFERROR(D12/B12,0)</f>
        <v>15606.3513513514</v>
      </c>
      <c r="H12" s="29" t="n">
        <f aca="false">IFERROR(D12/D$17,0)</f>
        <v>0.0724477031806554</v>
      </c>
    </row>
    <row r="13" customFormat="false" ht="15" hidden="false" customHeight="false" outlineLevel="0" collapsed="false">
      <c r="A13" s="26" t="s">
        <v>169</v>
      </c>
      <c r="B13" s="27" t="n">
        <f aca="false">COUNTIFS('Sales Data'!$A:$A,"&gt;0",'Sales Data'!$F:$F,$A13,'Sales Data'!$B:$B,Dashboard!$AB$3)</f>
        <v>44</v>
      </c>
      <c r="C13" s="27" t="n">
        <f aca="false">SUMIFS('Sales Data'!$H:$H,'Sales Data'!$F:$F,$A13,'Sales Data'!$B:$B,Dashboard!$AB$3)</f>
        <v>147</v>
      </c>
      <c r="D13" s="28" t="n">
        <f aca="false">SUMIFS('Sales Data'!$J:$J,'Sales Data'!$F:$F,$A13,'Sales Data'!$B:$B,Dashboard!$AB$3)</f>
        <v>704620</v>
      </c>
      <c r="E13" s="28" t="n">
        <f aca="false">SUMIFS('Sales Data'!$I:$I,'Sales Data'!$F:$F,$A13,'Sales Data'!$B:$B,Dashboard!$AB$3)</f>
        <v>136582.7</v>
      </c>
      <c r="F13" s="29" t="n">
        <f aca="false">IFERROR(E13/D13,0)</f>
        <v>0.193838806732707</v>
      </c>
      <c r="G13" s="28" t="n">
        <f aca="false">IFERROR(D13/B13,0)</f>
        <v>16014.0909090909</v>
      </c>
      <c r="H13" s="29" t="n">
        <f aca="false">IFERROR(D13/D$17,0)</f>
        <v>0.0884049297585934</v>
      </c>
    </row>
    <row r="14" customFormat="false" ht="15" hidden="false" customHeight="false" outlineLevel="0" collapsed="false">
      <c r="A14" s="26" t="s">
        <v>170</v>
      </c>
      <c r="B14" s="27" t="n">
        <f aca="false">COUNTIFS('Sales Data'!$A:$A,"&gt;0",'Sales Data'!$F:$F,$A14,'Sales Data'!$B:$B,Dashboard!$AB$3)</f>
        <v>51</v>
      </c>
      <c r="C14" s="27" t="n">
        <f aca="false">SUMIFS('Sales Data'!$H:$H,'Sales Data'!$F:$F,$A14,'Sales Data'!$B:$B,Dashboard!$AB$3)</f>
        <v>176</v>
      </c>
      <c r="D14" s="28" t="n">
        <f aca="false">SUMIFS('Sales Data'!$J:$J,'Sales Data'!$F:$F,$A14,'Sales Data'!$B:$B,Dashboard!$AB$3)</f>
        <v>759855</v>
      </c>
      <c r="E14" s="28" t="n">
        <f aca="false">SUMIFS('Sales Data'!$I:$I,'Sales Data'!$F:$F,$A14,'Sales Data'!$B:$B,Dashboard!$AB$3)</f>
        <v>162907.15</v>
      </c>
      <c r="F14" s="29" t="n">
        <f aca="false">IFERROR(E14/D14,0)</f>
        <v>0.214392416974291</v>
      </c>
      <c r="G14" s="28" t="n">
        <f aca="false">IFERROR(D14/B14,0)</f>
        <v>14899.1176470588</v>
      </c>
      <c r="H14" s="29" t="n">
        <f aca="false">IFERROR(D14/D$17,0)</f>
        <v>0.0953349719021827</v>
      </c>
    </row>
    <row r="15" customFormat="false" ht="15" hidden="false" customHeight="false" outlineLevel="0" collapsed="false">
      <c r="A15" s="26" t="s">
        <v>171</v>
      </c>
      <c r="B15" s="27" t="n">
        <f aca="false">COUNTIFS('Sales Data'!$A:$A,"&gt;0",'Sales Data'!$F:$F,$A15,'Sales Data'!$B:$B,Dashboard!$AB$3)</f>
        <v>44</v>
      </c>
      <c r="C15" s="27" t="n">
        <f aca="false">SUMIFS('Sales Data'!$H:$H,'Sales Data'!$F:$F,$A15,'Sales Data'!$B:$B,Dashboard!$AB$3)</f>
        <v>120</v>
      </c>
      <c r="D15" s="28" t="n">
        <f aca="false">SUMIFS('Sales Data'!$J:$J,'Sales Data'!$F:$F,$A15,'Sales Data'!$B:$B,Dashboard!$AB$3)</f>
        <v>791015</v>
      </c>
      <c r="E15" s="28" t="n">
        <f aca="false">SUMIFS('Sales Data'!$I:$I,'Sales Data'!$F:$F,$A15,'Sales Data'!$B:$B,Dashboard!$AB$3)</f>
        <v>150894.5</v>
      </c>
      <c r="F15" s="29" t="n">
        <f aca="false">IFERROR(E15/D15,0)</f>
        <v>0.190760605045416</v>
      </c>
      <c r="G15" s="28" t="n">
        <f aca="false">IFERROR(D15/B15,0)</f>
        <v>17977.6136363636</v>
      </c>
      <c r="H15" s="29" t="n">
        <f aca="false">IFERROR(D15/D$17,0)</f>
        <v>0.0992444516377533</v>
      </c>
    </row>
    <row r="16" customFormat="false" ht="15" hidden="false" customHeight="false" outlineLevel="0" collapsed="false">
      <c r="A16" s="26" t="s">
        <v>172</v>
      </c>
      <c r="B16" s="27" t="n">
        <f aca="false">COUNTIFS('Sales Data'!$A:$A,"&gt;0",'Sales Data'!$F:$F,$A16,'Sales Data'!$B:$B,Dashboard!$AB$3)</f>
        <v>51</v>
      </c>
      <c r="C16" s="27" t="n">
        <f aca="false">SUMIFS('Sales Data'!$H:$H,'Sales Data'!$F:$F,$A16,'Sales Data'!$B:$B,Dashboard!$AB$3)</f>
        <v>171</v>
      </c>
      <c r="D16" s="28" t="n">
        <f aca="false">SUMIFS('Sales Data'!$J:$J,'Sales Data'!$F:$F,$A16,'Sales Data'!$B:$B,Dashboard!$AB$3)</f>
        <v>823335</v>
      </c>
      <c r="E16" s="28" t="n">
        <f aca="false">SUMIFS('Sales Data'!$I:$I,'Sales Data'!$F:$F,$A16,'Sales Data'!$B:$B,Dashboard!$AB$3)</f>
        <v>169539.55</v>
      </c>
      <c r="F16" s="29" t="n">
        <f aca="false">IFERROR(E16/D16,0)</f>
        <v>0.205918064943188</v>
      </c>
      <c r="G16" s="28" t="n">
        <f aca="false">IFERROR(D16/B16,0)</f>
        <v>16143.8235294118</v>
      </c>
      <c r="H16" s="29" t="n">
        <f aca="false">IFERROR(D16/D$17,0)</f>
        <v>0.103299470413544</v>
      </c>
    </row>
    <row r="17" customFormat="false" ht="15" hidden="false" customHeight="false" outlineLevel="0" collapsed="false">
      <c r="A17" s="30" t="s">
        <v>173</v>
      </c>
      <c r="B17" s="31" t="n">
        <f aca="false">SUM(B5:B16)</f>
        <v>500</v>
      </c>
      <c r="C17" s="31" t="n">
        <f aca="false">SUM(C5:C16)</f>
        <v>1715</v>
      </c>
      <c r="D17" s="32" t="n">
        <f aca="false">SUM(D5:D16)</f>
        <v>7970370</v>
      </c>
      <c r="E17" s="32" t="n">
        <f aca="false">SUM(E5:E16)</f>
        <v>1652570.5</v>
      </c>
      <c r="F17" s="33" t="n">
        <f aca="false">IFERROR(E17/D17,0)</f>
        <v>0.207339245229519</v>
      </c>
      <c r="G17" s="32" t="n">
        <f aca="false">IFERROR(D17/B17,0)</f>
        <v>15940.74</v>
      </c>
      <c r="H17" s="33" t="n">
        <f aca="false">SUM(H5:H16)</f>
        <v>1</v>
      </c>
    </row>
  </sheetData>
  <conditionalFormatting sqref="D5:D16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{189ECE12-4611-4125-9286-4B206790ECE0}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ECE12-4611-4125-9286-4B206790ECE0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D5:D16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S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9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"/>
    <col collapsed="false" customWidth="true" hidden="false" outlineLevel="0" max="13" min="13" style="0" width="8"/>
    <col collapsed="false" customWidth="true" hidden="false" outlineLevel="0" max="14" min="14" style="0" width="30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3"/>
    <col collapsed="false" customWidth="true" hidden="false" outlineLevel="0" max="19" min="19" style="0" width="30"/>
  </cols>
  <sheetData>
    <row r="1" customFormat="false" ht="19.7" hidden="false" customHeight="false" outlineLevel="0" collapsed="false">
      <c r="A1" s="24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" hidden="false" customHeight="false" outlineLevel="0" collapsed="false">
      <c r="A2" s="25" t="str">
        <f aca="false">"Synthetic sample data  |  Month filter from Dashboard: "&amp;Dashboard!$E$5&amp;"  (change it on the Dashboard sheet)"</f>
        <v>Synthetic sample data  |  Month filter from Dashboard: All Months  (change it on the Dashboard sheet)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4" t="s">
        <v>175</v>
      </c>
      <c r="N3" s="3"/>
      <c r="O3" s="3"/>
      <c r="P3" s="3"/>
      <c r="Q3" s="3"/>
      <c r="R3" s="3"/>
      <c r="S3" s="3"/>
    </row>
    <row r="4" customFormat="false" ht="31.5" hidden="false" customHeight="true" outlineLevel="0" collapsed="false">
      <c r="A4" s="1" t="s">
        <v>176</v>
      </c>
      <c r="B4" s="1" t="s">
        <v>1</v>
      </c>
      <c r="C4" s="1" t="s">
        <v>177</v>
      </c>
      <c r="D4" s="1" t="s">
        <v>178</v>
      </c>
      <c r="E4" s="1" t="s">
        <v>179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180</v>
      </c>
      <c r="K4" s="1" t="s">
        <v>181</v>
      </c>
      <c r="L4" s="3"/>
      <c r="M4" s="35" t="s">
        <v>182</v>
      </c>
      <c r="N4" s="35" t="s">
        <v>183</v>
      </c>
      <c r="O4" s="35" t="s">
        <v>156</v>
      </c>
      <c r="P4" s="35" t="s">
        <v>157</v>
      </c>
      <c r="Q4" s="35" t="s">
        <v>155</v>
      </c>
      <c r="R4" s="3"/>
      <c r="S4" s="36" t="s">
        <v>184</v>
      </c>
    </row>
    <row r="5" customFormat="false" ht="15" hidden="false" customHeight="false" outlineLevel="0" collapsed="false">
      <c r="A5" s="27" t="s">
        <v>185</v>
      </c>
      <c r="B5" s="26" t="s">
        <v>12</v>
      </c>
      <c r="C5" s="26" t="s">
        <v>186</v>
      </c>
      <c r="D5" s="28" t="n">
        <v>799</v>
      </c>
      <c r="E5" s="37" t="n">
        <v>0.32</v>
      </c>
      <c r="F5" s="27" t="n">
        <f aca="false">COUNTIFS('Sales Data'!$A:$A,"&gt;0",'Sales Data'!$B:$B,$B5,'Sales Data'!$F:$F,Dashboard!$AB$2)</f>
        <v>48</v>
      </c>
      <c r="G5" s="27" t="n">
        <f aca="false">SUMIFS('Sales Data'!$H:$H,'Sales Data'!$B:$B,$B5,'Sales Data'!$F:$F,Dashboard!$AB$2)</f>
        <v>250</v>
      </c>
      <c r="H5" s="28" t="n">
        <f aca="false">SUMIFS('Sales Data'!$J:$J,'Sales Data'!$B:$B,$B5,'Sales Data'!$F:$F,Dashboard!$AB$2)</f>
        <v>198040</v>
      </c>
      <c r="I5" s="28" t="n">
        <f aca="false">SUMIFS('Sales Data'!$I:$I,'Sales Data'!$B:$B,$B5,'Sales Data'!$F:$F,Dashboard!$AB$2)</f>
        <v>63372.8</v>
      </c>
      <c r="J5" s="29" t="n">
        <f aca="false">IFERROR(I5/H5,0)</f>
        <v>0.32</v>
      </c>
      <c r="K5" s="27" t="n">
        <f aca="false">RANK(H5,$H$5:$H$24)+COUNTIF($H$5:H5,H5)-1</f>
        <v>18</v>
      </c>
      <c r="L5" s="3"/>
      <c r="M5" s="27" t="n">
        <v>1</v>
      </c>
      <c r="N5" s="26" t="str">
        <f aca="false">INDEX($B$5:$B$24,MATCH($M5,$K$5:$K$24,0))</f>
        <v>Smartphone 5G</v>
      </c>
      <c r="O5" s="28" t="n">
        <f aca="false">INDEX($H$5:$H$24,MATCH($M5,$K$5:$K$24,0))</f>
        <v>1277725</v>
      </c>
      <c r="P5" s="28" t="n">
        <f aca="false">INDEX($I$5:$I$24,MATCH($M5,$K$5:$K$24,0))</f>
        <v>127772.5</v>
      </c>
      <c r="Q5" s="27" t="n">
        <f aca="false">INDEX($G$5:$G$24,MATCH($M5,$K$5:$K$24,0))</f>
        <v>52</v>
      </c>
      <c r="R5" s="3"/>
      <c r="S5" s="3" t="s">
        <v>145</v>
      </c>
    </row>
    <row r="6" customFormat="false" ht="15" hidden="false" customHeight="false" outlineLevel="0" collapsed="false">
      <c r="A6" s="27" t="s">
        <v>187</v>
      </c>
      <c r="B6" s="26" t="s">
        <v>52</v>
      </c>
      <c r="C6" s="26" t="s">
        <v>186</v>
      </c>
      <c r="D6" s="28" t="n">
        <v>3499</v>
      </c>
      <c r="E6" s="37" t="n">
        <v>0.28</v>
      </c>
      <c r="F6" s="27" t="n">
        <f aca="false">COUNTIFS('Sales Data'!$A:$A,"&gt;0",'Sales Data'!$B:$B,$B6,'Sales Data'!$F:$F,Dashboard!$AB$2)</f>
        <v>37</v>
      </c>
      <c r="G6" s="27" t="n">
        <f aca="false">SUMIFS('Sales Data'!$H:$H,'Sales Data'!$B:$B,$B6,'Sales Data'!$F:$F,Dashboard!$AB$2)</f>
        <v>121</v>
      </c>
      <c r="H6" s="28" t="n">
        <f aca="false">SUMIFS('Sales Data'!$J:$J,'Sales Data'!$B:$B,$B6,'Sales Data'!$F:$F,Dashboard!$AB$2)</f>
        <v>414900</v>
      </c>
      <c r="I6" s="28" t="n">
        <f aca="false">SUMIFS('Sales Data'!$I:$I,'Sales Data'!$B:$B,$B6,'Sales Data'!$F:$F,Dashboard!$AB$2)</f>
        <v>116172</v>
      </c>
      <c r="J6" s="29" t="n">
        <f aca="false">IFERROR(I6/H6,0)</f>
        <v>0.28</v>
      </c>
      <c r="K6" s="27" t="n">
        <f aca="false">RANK(H6,$H$5:$H$24)+COUNTIF($H$5:H6,H6)-1</f>
        <v>8</v>
      </c>
      <c r="L6" s="3"/>
      <c r="M6" s="27" t="n">
        <v>2</v>
      </c>
      <c r="N6" s="26" t="str">
        <f aca="false">INDEX($B$5:$B$24,MATCH($M6,$K$5:$K$24,0))</f>
        <v>27-inch Monitor</v>
      </c>
      <c r="O6" s="28" t="n">
        <f aca="false">INDEX($H$5:$H$24,MATCH($M6,$K$5:$K$24,0))</f>
        <v>601865</v>
      </c>
      <c r="P6" s="28" t="n">
        <f aca="false">INDEX($I$5:$I$24,MATCH($M6,$K$5:$K$24,0))</f>
        <v>90279.75</v>
      </c>
      <c r="Q6" s="27" t="n">
        <f aca="false">INDEX($G$5:$G$24,MATCH($M6,$K$5:$K$24,0))</f>
        <v>36</v>
      </c>
      <c r="R6" s="3"/>
      <c r="S6" s="3" t="str">
        <f aca="false">B5</f>
        <v>Wireless Mouse</v>
      </c>
    </row>
    <row r="7" customFormat="false" ht="15" hidden="false" customHeight="false" outlineLevel="0" collapsed="false">
      <c r="A7" s="27" t="s">
        <v>188</v>
      </c>
      <c r="B7" s="26" t="s">
        <v>18</v>
      </c>
      <c r="C7" s="26" t="s">
        <v>186</v>
      </c>
      <c r="D7" s="28" t="n">
        <v>1799</v>
      </c>
      <c r="E7" s="37" t="n">
        <v>0.35</v>
      </c>
      <c r="F7" s="27" t="n">
        <f aca="false">COUNTIFS('Sales Data'!$A:$A,"&gt;0",'Sales Data'!$B:$B,$B7,'Sales Data'!$F:$F,Dashboard!$AB$2)</f>
        <v>36</v>
      </c>
      <c r="G7" s="27" t="n">
        <f aca="false">SUMIFS('Sales Data'!$H:$H,'Sales Data'!$B:$B,$B7,'Sales Data'!$F:$F,Dashboard!$AB$2)</f>
        <v>162</v>
      </c>
      <c r="H7" s="28" t="n">
        <f aca="false">SUMIFS('Sales Data'!$J:$J,'Sales Data'!$B:$B,$B7,'Sales Data'!$F:$F,Dashboard!$AB$2)</f>
        <v>285110</v>
      </c>
      <c r="I7" s="28" t="n">
        <f aca="false">SUMIFS('Sales Data'!$I:$I,'Sales Data'!$B:$B,$B7,'Sales Data'!$F:$F,Dashboard!$AB$2)</f>
        <v>99788.5</v>
      </c>
      <c r="J7" s="29" t="n">
        <f aca="false">IFERROR(I7/H7,0)</f>
        <v>0.35</v>
      </c>
      <c r="K7" s="27" t="n">
        <f aca="false">RANK(H7,$H$5:$H$24)+COUNTIF($H$5:H7,H7)-1</f>
        <v>13</v>
      </c>
      <c r="L7" s="3"/>
      <c r="M7" s="27" t="n">
        <v>3</v>
      </c>
      <c r="N7" s="26" t="str">
        <f aca="false">INDEX($B$5:$B$24,MATCH($M7,$K$5:$K$24,0))</f>
        <v>Noise-Cancelling Headphones</v>
      </c>
      <c r="O7" s="28" t="n">
        <f aca="false">INDEX($H$5:$H$24,MATCH($M7,$K$5:$K$24,0))</f>
        <v>600900</v>
      </c>
      <c r="P7" s="28" t="n">
        <f aca="false">INDEX($I$5:$I$24,MATCH($M7,$K$5:$K$24,0))</f>
        <v>144216</v>
      </c>
      <c r="Q7" s="27" t="n">
        <f aca="false">INDEX($G$5:$G$24,MATCH($M7,$K$5:$K$24,0))</f>
        <v>76</v>
      </c>
      <c r="R7" s="3"/>
      <c r="S7" s="3" t="str">
        <f aca="false">B6</f>
        <v>Mechanical Keyboard</v>
      </c>
    </row>
    <row r="8" customFormat="false" ht="15" hidden="false" customHeight="false" outlineLevel="0" collapsed="false">
      <c r="A8" s="27" t="s">
        <v>189</v>
      </c>
      <c r="B8" s="26" t="s">
        <v>27</v>
      </c>
      <c r="C8" s="26" t="s">
        <v>186</v>
      </c>
      <c r="D8" s="28" t="n">
        <v>2299</v>
      </c>
      <c r="E8" s="37" t="n">
        <v>0.3</v>
      </c>
      <c r="F8" s="27" t="n">
        <f aca="false">COUNTIFS('Sales Data'!$A:$A,"&gt;0",'Sales Data'!$B:$B,$B8,'Sales Data'!$F:$F,Dashboard!$AB$2)</f>
        <v>24</v>
      </c>
      <c r="G8" s="27" t="n">
        <f aca="false">SUMIFS('Sales Data'!$H:$H,'Sales Data'!$B:$B,$B8,'Sales Data'!$F:$F,Dashboard!$AB$2)</f>
        <v>88</v>
      </c>
      <c r="H8" s="28" t="n">
        <f aca="false">SUMIFS('Sales Data'!$J:$J,'Sales Data'!$B:$B,$B8,'Sales Data'!$F:$F,Dashboard!$AB$2)</f>
        <v>199305</v>
      </c>
      <c r="I8" s="28" t="n">
        <f aca="false">SUMIFS('Sales Data'!$I:$I,'Sales Data'!$B:$B,$B8,'Sales Data'!$F:$F,Dashboard!$AB$2)</f>
        <v>59791.5</v>
      </c>
      <c r="J8" s="29" t="n">
        <f aca="false">IFERROR(I8/H8,0)</f>
        <v>0.3</v>
      </c>
      <c r="K8" s="27" t="n">
        <f aca="false">RANK(H8,$H$5:$H$24)+COUNTIF($H$5:H8,H8)-1</f>
        <v>16</v>
      </c>
      <c r="L8" s="3"/>
      <c r="M8" s="27" t="n">
        <v>4</v>
      </c>
      <c r="N8" s="26" t="str">
        <f aca="false">INDEX($B$5:$B$24,MATCH($M8,$K$5:$K$24,0))</f>
        <v>Smart Watch</v>
      </c>
      <c r="O8" s="28" t="n">
        <f aca="false">INDEX($H$5:$H$24,MATCH($M8,$K$5:$K$24,0))</f>
        <v>555090</v>
      </c>
      <c r="P8" s="28" t="n">
        <f aca="false">INDEX($I$5:$I$24,MATCH($M8,$K$5:$K$24,0))</f>
        <v>122119.8</v>
      </c>
      <c r="Q8" s="27" t="n">
        <f aca="false">INDEX($G$5:$G$24,MATCH($M8,$K$5:$K$24,0))</f>
        <v>94</v>
      </c>
      <c r="R8" s="3"/>
      <c r="S8" s="3" t="str">
        <f aca="false">B7</f>
        <v>Laptop Backpack</v>
      </c>
    </row>
    <row r="9" customFormat="false" ht="15" hidden="false" customHeight="false" outlineLevel="0" collapsed="false">
      <c r="A9" s="27" t="s">
        <v>190</v>
      </c>
      <c r="B9" s="26" t="s">
        <v>14</v>
      </c>
      <c r="C9" s="26" t="s">
        <v>186</v>
      </c>
      <c r="D9" s="28" t="n">
        <v>2999</v>
      </c>
      <c r="E9" s="37" t="n">
        <v>0.26</v>
      </c>
      <c r="F9" s="27" t="n">
        <f aca="false">COUNTIFS('Sales Data'!$A:$A,"&gt;0",'Sales Data'!$B:$B,$B9,'Sales Data'!$F:$F,Dashboard!$AB$2)</f>
        <v>24</v>
      </c>
      <c r="G9" s="27" t="n">
        <f aca="false">SUMIFS('Sales Data'!$H:$H,'Sales Data'!$B:$B,$B9,'Sales Data'!$F:$F,Dashboard!$AB$2)</f>
        <v>84</v>
      </c>
      <c r="H9" s="28" t="n">
        <f aca="false">SUMIFS('Sales Data'!$J:$J,'Sales Data'!$B:$B,$B9,'Sales Data'!$F:$F,Dashboard!$AB$2)</f>
        <v>247085</v>
      </c>
      <c r="I9" s="28" t="n">
        <f aca="false">SUMIFS('Sales Data'!$I:$I,'Sales Data'!$B:$B,$B9,'Sales Data'!$F:$F,Dashboard!$AB$2)</f>
        <v>64242.1</v>
      </c>
      <c r="J9" s="29" t="n">
        <f aca="false">IFERROR(I9/H9,0)</f>
        <v>0.26</v>
      </c>
      <c r="K9" s="27" t="n">
        <f aca="false">RANK(H9,$H$5:$H$24)+COUNTIF($H$5:H9,H9)-1</f>
        <v>15</v>
      </c>
      <c r="L9" s="3"/>
      <c r="M9" s="27" t="n">
        <v>5</v>
      </c>
      <c r="N9" s="26" t="str">
        <f aca="false">INDEX($B$5:$B$24,MATCH($M9,$K$5:$K$24,0))</f>
        <v>Ergonomic Office Chair</v>
      </c>
      <c r="O9" s="28" t="n">
        <f aca="false">INDEX($H$5:$H$24,MATCH($M9,$K$5:$K$24,0))</f>
        <v>486925</v>
      </c>
      <c r="P9" s="28" t="n">
        <f aca="false">INDEX($I$5:$I$24,MATCH($M9,$K$5:$K$24,0))</f>
        <v>97385</v>
      </c>
      <c r="Q9" s="27" t="n">
        <f aca="false">INDEX($G$5:$G$24,MATCH($M9,$K$5:$K$24,0))</f>
        <v>42</v>
      </c>
      <c r="R9" s="3"/>
      <c r="S9" s="3" t="str">
        <f aca="false">B8</f>
        <v>USB-C Hub 7-in-1</v>
      </c>
    </row>
    <row r="10" customFormat="false" ht="15" hidden="false" customHeight="false" outlineLevel="0" collapsed="false">
      <c r="A10" s="27" t="s">
        <v>191</v>
      </c>
      <c r="B10" s="26" t="s">
        <v>34</v>
      </c>
      <c r="C10" s="26" t="s">
        <v>192</v>
      </c>
      <c r="D10" s="28" t="n">
        <v>1999</v>
      </c>
      <c r="E10" s="37" t="n">
        <v>0.27</v>
      </c>
      <c r="F10" s="27" t="n">
        <f aca="false">COUNTIFS('Sales Data'!$A:$A,"&gt;0",'Sales Data'!$B:$B,$B10,'Sales Data'!$F:$F,Dashboard!$AB$2)</f>
        <v>31</v>
      </c>
      <c r="G10" s="27" t="n">
        <f aca="false">SUMIFS('Sales Data'!$H:$H,'Sales Data'!$B:$B,$B10,'Sales Data'!$F:$F,Dashboard!$AB$2)</f>
        <v>173</v>
      </c>
      <c r="H10" s="28" t="n">
        <f aca="false">SUMIFS('Sales Data'!$J:$J,'Sales Data'!$B:$B,$B10,'Sales Data'!$F:$F,Dashboard!$AB$2)</f>
        <v>339755</v>
      </c>
      <c r="I10" s="28" t="n">
        <f aca="false">SUMIFS('Sales Data'!$I:$I,'Sales Data'!$B:$B,$B10,'Sales Data'!$F:$F,Dashboard!$AB$2)</f>
        <v>91733.85</v>
      </c>
      <c r="J10" s="29" t="n">
        <f aca="false">IFERROR(I10/H10,0)</f>
        <v>0.27</v>
      </c>
      <c r="K10" s="27" t="n">
        <f aca="false">RANK(H10,$H$5:$H$24)+COUNTIF($H$5:H10,H10)-1</f>
        <v>11</v>
      </c>
      <c r="L10" s="3"/>
      <c r="M10" s="27" t="n">
        <v>6</v>
      </c>
      <c r="N10" s="26" t="str">
        <f aca="false">INDEX($B$5:$B$24,MATCH($M10,$K$5:$K$24,0))</f>
        <v>Tablet 10-inch</v>
      </c>
      <c r="O10" s="28" t="n">
        <f aca="false">INDEX($H$5:$H$24,MATCH($M10,$K$5:$K$24,0))</f>
        <v>458970</v>
      </c>
      <c r="P10" s="28" t="n">
        <f aca="false">INDEX($I$5:$I$24,MATCH($M10,$K$5:$K$24,0))</f>
        <v>55076.4</v>
      </c>
      <c r="Q10" s="27" t="n">
        <f aca="false">INDEX($G$5:$G$24,MATCH($M10,$K$5:$K$24,0))</f>
        <v>23</v>
      </c>
      <c r="R10" s="3"/>
      <c r="S10" s="3" t="str">
        <f aca="false">B9</f>
        <v>Webcam Full HD</v>
      </c>
    </row>
    <row r="11" customFormat="false" ht="15" hidden="false" customHeight="false" outlineLevel="0" collapsed="false">
      <c r="A11" s="27" t="s">
        <v>193</v>
      </c>
      <c r="B11" s="26" t="s">
        <v>37</v>
      </c>
      <c r="C11" s="26" t="s">
        <v>194</v>
      </c>
      <c r="D11" s="28" t="n">
        <v>2999</v>
      </c>
      <c r="E11" s="37" t="n">
        <v>0.29</v>
      </c>
      <c r="F11" s="27" t="n">
        <f aca="false">COUNTIFS('Sales Data'!$A:$A,"&gt;0",'Sales Data'!$B:$B,$B11,'Sales Data'!$F:$F,Dashboard!$AB$2)</f>
        <v>41</v>
      </c>
      <c r="G11" s="27" t="n">
        <f aca="false">SUMIFS('Sales Data'!$H:$H,'Sales Data'!$B:$B,$B11,'Sales Data'!$F:$F,Dashboard!$AB$2)</f>
        <v>132</v>
      </c>
      <c r="H11" s="28" t="n">
        <f aca="false">SUMIFS('Sales Data'!$J:$J,'Sales Data'!$B:$B,$B11,'Sales Data'!$F:$F,Dashboard!$AB$2)</f>
        <v>386385</v>
      </c>
      <c r="I11" s="28" t="n">
        <f aca="false">SUMIFS('Sales Data'!$I:$I,'Sales Data'!$B:$B,$B11,'Sales Data'!$F:$F,Dashboard!$AB$2)</f>
        <v>112051.65</v>
      </c>
      <c r="J11" s="29" t="n">
        <f aca="false">IFERROR(I11/H11,0)</f>
        <v>0.29</v>
      </c>
      <c r="K11" s="27" t="n">
        <f aca="false">RANK(H11,$H$5:$H$24)+COUNTIF($H$5:H11,H11)-1</f>
        <v>9</v>
      </c>
      <c r="L11" s="3"/>
      <c r="M11" s="27" t="n">
        <v>7</v>
      </c>
      <c r="N11" s="26" t="str">
        <f aca="false">INDEX($B$5:$B$24,MATCH($M11,$K$5:$K$24,0))</f>
        <v>External SSD 1TB</v>
      </c>
      <c r="O11" s="28" t="n">
        <f aca="false">INDEX($H$5:$H$24,MATCH($M11,$K$5:$K$24,0))</f>
        <v>429325</v>
      </c>
      <c r="P11" s="28" t="n">
        <f aca="false">INDEX($I$5:$I$24,MATCH($M11,$K$5:$K$24,0))</f>
        <v>77278.5</v>
      </c>
      <c r="Q11" s="27" t="n">
        <f aca="false">INDEX($G$5:$G$24,MATCH($M11,$K$5:$K$24,0))</f>
        <v>51</v>
      </c>
      <c r="R11" s="3"/>
      <c r="S11" s="3" t="str">
        <f aca="false">B10</f>
        <v>Power Bank 20000mAh</v>
      </c>
    </row>
    <row r="12" customFormat="false" ht="15" hidden="false" customHeight="false" outlineLevel="0" collapsed="false">
      <c r="A12" s="27" t="s">
        <v>195</v>
      </c>
      <c r="B12" s="26" t="s">
        <v>22</v>
      </c>
      <c r="C12" s="26" t="s">
        <v>194</v>
      </c>
      <c r="D12" s="28" t="n">
        <v>7999</v>
      </c>
      <c r="E12" s="37" t="n">
        <v>0.24</v>
      </c>
      <c r="F12" s="27" t="n">
        <f aca="false">COUNTIFS('Sales Data'!$A:$A,"&gt;0",'Sales Data'!$B:$B,$B12,'Sales Data'!$F:$F,Dashboard!$AB$2)</f>
        <v>29</v>
      </c>
      <c r="G12" s="27" t="n">
        <f aca="false">SUMIFS('Sales Data'!$H:$H,'Sales Data'!$B:$B,$B12,'Sales Data'!$F:$F,Dashboard!$AB$2)</f>
        <v>76</v>
      </c>
      <c r="H12" s="28" t="n">
        <f aca="false">SUMIFS('Sales Data'!$J:$J,'Sales Data'!$B:$B,$B12,'Sales Data'!$F:$F,Dashboard!$AB$2)</f>
        <v>600900</v>
      </c>
      <c r="I12" s="28" t="n">
        <f aca="false">SUMIFS('Sales Data'!$I:$I,'Sales Data'!$B:$B,$B12,'Sales Data'!$F:$F,Dashboard!$AB$2)</f>
        <v>144216</v>
      </c>
      <c r="J12" s="29" t="n">
        <f aca="false">IFERROR(I12/H12,0)</f>
        <v>0.24</v>
      </c>
      <c r="K12" s="27" t="n">
        <f aca="false">RANK(H12,$H$5:$H$24)+COUNTIF($H$5:H12,H12)-1</f>
        <v>3</v>
      </c>
      <c r="L12" s="3"/>
      <c r="M12" s="27" t="n">
        <v>8</v>
      </c>
      <c r="N12" s="26" t="str">
        <f aca="false">INDEX($B$5:$B$24,MATCH($M12,$K$5:$K$24,0))</f>
        <v>Mechanical Keyboard</v>
      </c>
      <c r="O12" s="28" t="n">
        <f aca="false">INDEX($H$5:$H$24,MATCH($M12,$K$5:$K$24,0))</f>
        <v>414900</v>
      </c>
      <c r="P12" s="28" t="n">
        <f aca="false">INDEX($I$5:$I$24,MATCH($M12,$K$5:$K$24,0))</f>
        <v>116172</v>
      </c>
      <c r="Q12" s="27" t="n">
        <f aca="false">INDEX($G$5:$G$24,MATCH($M12,$K$5:$K$24,0))</f>
        <v>121</v>
      </c>
      <c r="R12" s="3"/>
      <c r="S12" s="3" t="str">
        <f aca="false">B11</f>
        <v>Bluetooth Speaker</v>
      </c>
    </row>
    <row r="13" customFormat="false" ht="15" hidden="false" customHeight="false" outlineLevel="0" collapsed="false">
      <c r="A13" s="27" t="s">
        <v>196</v>
      </c>
      <c r="B13" s="26" t="s">
        <v>60</v>
      </c>
      <c r="C13" s="26" t="s">
        <v>197</v>
      </c>
      <c r="D13" s="28" t="n">
        <v>5999</v>
      </c>
      <c r="E13" s="37" t="n">
        <v>0.22</v>
      </c>
      <c r="F13" s="27" t="n">
        <f aca="false">COUNTIFS('Sales Data'!$A:$A,"&gt;0",'Sales Data'!$B:$B,$B13,'Sales Data'!$F:$F,Dashboard!$AB$2)</f>
        <v>31</v>
      </c>
      <c r="G13" s="27" t="n">
        <f aca="false">SUMIFS('Sales Data'!$H:$H,'Sales Data'!$B:$B,$B13,'Sales Data'!$F:$F,Dashboard!$AB$2)</f>
        <v>94</v>
      </c>
      <c r="H13" s="28" t="n">
        <f aca="false">SUMIFS('Sales Data'!$J:$J,'Sales Data'!$B:$B,$B13,'Sales Data'!$F:$F,Dashboard!$AB$2)</f>
        <v>555090</v>
      </c>
      <c r="I13" s="28" t="n">
        <f aca="false">SUMIFS('Sales Data'!$I:$I,'Sales Data'!$B:$B,$B13,'Sales Data'!$F:$F,Dashboard!$AB$2)</f>
        <v>122119.8</v>
      </c>
      <c r="J13" s="29" t="n">
        <f aca="false">IFERROR(I13/H13,0)</f>
        <v>0.22</v>
      </c>
      <c r="K13" s="27" t="n">
        <f aca="false">RANK(H13,$H$5:$H$24)+COUNTIF($H$5:H13,H13)-1</f>
        <v>4</v>
      </c>
      <c r="L13" s="3"/>
      <c r="M13" s="27" t="n">
        <v>9</v>
      </c>
      <c r="N13" s="26" t="str">
        <f aca="false">INDEX($B$5:$B$24,MATCH($M13,$K$5:$K$24,0))</f>
        <v>Bluetooth Speaker</v>
      </c>
      <c r="O13" s="28" t="n">
        <f aca="false">INDEX($H$5:$H$24,MATCH($M13,$K$5:$K$24,0))</f>
        <v>386385</v>
      </c>
      <c r="P13" s="28" t="n">
        <f aca="false">INDEX($I$5:$I$24,MATCH($M13,$K$5:$K$24,0))</f>
        <v>112051.65</v>
      </c>
      <c r="Q13" s="27" t="n">
        <f aca="false">INDEX($G$5:$G$24,MATCH($M13,$K$5:$K$24,0))</f>
        <v>132</v>
      </c>
      <c r="R13" s="3"/>
      <c r="S13" s="3" t="str">
        <f aca="false">B12</f>
        <v>Noise-Cancelling Headphones</v>
      </c>
    </row>
    <row r="14" customFormat="false" ht="15" hidden="false" customHeight="false" outlineLevel="0" collapsed="false">
      <c r="A14" s="27" t="s">
        <v>198</v>
      </c>
      <c r="B14" s="26" t="s">
        <v>45</v>
      </c>
      <c r="C14" s="26" t="s">
        <v>197</v>
      </c>
      <c r="D14" s="28" t="n">
        <v>2499</v>
      </c>
      <c r="E14" s="37" t="n">
        <v>0.25</v>
      </c>
      <c r="F14" s="27" t="n">
        <f aca="false">COUNTIFS('Sales Data'!$A:$A,"&gt;0",'Sales Data'!$B:$B,$B14,'Sales Data'!$F:$F,Dashboard!$AB$2)</f>
        <v>24</v>
      </c>
      <c r="G14" s="27" t="n">
        <f aca="false">SUMIFS('Sales Data'!$H:$H,'Sales Data'!$B:$B,$B14,'Sales Data'!$F:$F,Dashboard!$AB$2)</f>
        <v>74</v>
      </c>
      <c r="H14" s="28" t="n">
        <f aca="false">SUMIFS('Sales Data'!$J:$J,'Sales Data'!$B:$B,$B14,'Sales Data'!$F:$F,Dashboard!$AB$2)</f>
        <v>182220</v>
      </c>
      <c r="I14" s="28" t="n">
        <f aca="false">SUMIFS('Sales Data'!$I:$I,'Sales Data'!$B:$B,$B14,'Sales Data'!$F:$F,Dashboard!$AB$2)</f>
        <v>45555</v>
      </c>
      <c r="J14" s="29" t="n">
        <f aca="false">IFERROR(I14/H14,0)</f>
        <v>0.25</v>
      </c>
      <c r="K14" s="27" t="n">
        <f aca="false">RANK(H14,$H$5:$H$24)+COUNTIF($H$5:H14,H14)-1</f>
        <v>19</v>
      </c>
      <c r="L14" s="3"/>
      <c r="M14" s="27" t="n">
        <v>10</v>
      </c>
      <c r="N14" s="26" t="str">
        <f aca="false">INDEX($B$5:$B$24,MATCH($M14,$K$5:$K$24,0))</f>
        <v>Laser Printer</v>
      </c>
      <c r="O14" s="28" t="n">
        <f aca="false">INDEX($H$5:$H$24,MATCH($M14,$K$5:$K$24,0))</f>
        <v>340640</v>
      </c>
      <c r="P14" s="28" t="n">
        <f aca="false">INDEX($I$5:$I$24,MATCH($M14,$K$5:$K$24,0))</f>
        <v>54502.4</v>
      </c>
      <c r="Q14" s="27" t="n">
        <f aca="false">INDEX($G$5:$G$24,MATCH($M14,$K$5:$K$24,0))</f>
        <v>27</v>
      </c>
      <c r="R14" s="3"/>
      <c r="S14" s="3" t="str">
        <f aca="false">B13</f>
        <v>Smart Watch</v>
      </c>
    </row>
    <row r="15" customFormat="false" ht="15" hidden="false" customHeight="false" outlineLevel="0" collapsed="false">
      <c r="A15" s="27" t="s">
        <v>199</v>
      </c>
      <c r="B15" s="26" t="s">
        <v>10</v>
      </c>
      <c r="C15" s="26" t="s">
        <v>200</v>
      </c>
      <c r="D15" s="28" t="n">
        <v>16999</v>
      </c>
      <c r="E15" s="37" t="n">
        <v>0.15</v>
      </c>
      <c r="F15" s="27" t="n">
        <f aca="false">COUNTIFS('Sales Data'!$A:$A,"&gt;0",'Sales Data'!$B:$B,$B15,'Sales Data'!$F:$F,Dashboard!$AB$2)</f>
        <v>21</v>
      </c>
      <c r="G15" s="27" t="n">
        <f aca="false">SUMIFS('Sales Data'!$H:$H,'Sales Data'!$B:$B,$B15,'Sales Data'!$F:$F,Dashboard!$AB$2)</f>
        <v>36</v>
      </c>
      <c r="H15" s="28" t="n">
        <f aca="false">SUMIFS('Sales Data'!$J:$J,'Sales Data'!$B:$B,$B15,'Sales Data'!$F:$F,Dashboard!$AB$2)</f>
        <v>601865</v>
      </c>
      <c r="I15" s="28" t="n">
        <f aca="false">SUMIFS('Sales Data'!$I:$I,'Sales Data'!$B:$B,$B15,'Sales Data'!$F:$F,Dashboard!$AB$2)</f>
        <v>90279.75</v>
      </c>
      <c r="J15" s="29" t="n">
        <f aca="false">IFERROR(I15/H15,0)</f>
        <v>0.15</v>
      </c>
      <c r="K15" s="27" t="n">
        <f aca="false">RANK(H15,$H$5:$H$24)+COUNTIF($H$5:H15,H15)-1</f>
        <v>2</v>
      </c>
      <c r="L15" s="3"/>
      <c r="M15" s="27" t="n">
        <v>11</v>
      </c>
      <c r="N15" s="26" t="str">
        <f aca="false">INDEX($B$5:$B$24,MATCH($M15,$K$5:$K$24,0))</f>
        <v>Power Bank 20000mAh</v>
      </c>
      <c r="O15" s="28" t="n">
        <f aca="false">INDEX($H$5:$H$24,MATCH($M15,$K$5:$K$24,0))</f>
        <v>339755</v>
      </c>
      <c r="P15" s="28" t="n">
        <f aca="false">INDEX($I$5:$I$24,MATCH($M15,$K$5:$K$24,0))</f>
        <v>91733.85</v>
      </c>
      <c r="Q15" s="27" t="n">
        <f aca="false">INDEX($G$5:$G$24,MATCH($M15,$K$5:$K$24,0))</f>
        <v>173</v>
      </c>
      <c r="R15" s="3"/>
      <c r="S15" s="3" t="str">
        <f aca="false">B14</f>
        <v>Fitness Band</v>
      </c>
    </row>
    <row r="16" customFormat="false" ht="15" hidden="false" customHeight="false" outlineLevel="0" collapsed="false">
      <c r="A16" s="27" t="s">
        <v>201</v>
      </c>
      <c r="B16" s="26" t="s">
        <v>104</v>
      </c>
      <c r="C16" s="26" t="s">
        <v>200</v>
      </c>
      <c r="D16" s="28" t="n">
        <v>8499</v>
      </c>
      <c r="E16" s="37" t="n">
        <v>0.18</v>
      </c>
      <c r="F16" s="27" t="n">
        <f aca="false">COUNTIFS('Sales Data'!$A:$A,"&gt;0",'Sales Data'!$B:$B,$B16,'Sales Data'!$F:$F,Dashboard!$AB$2)</f>
        <v>17</v>
      </c>
      <c r="G16" s="27" t="n">
        <f aca="false">SUMIFS('Sales Data'!$H:$H,'Sales Data'!$B:$B,$B16,'Sales Data'!$F:$F,Dashboard!$AB$2)</f>
        <v>51</v>
      </c>
      <c r="H16" s="28" t="n">
        <f aca="false">SUMIFS('Sales Data'!$J:$J,'Sales Data'!$B:$B,$B16,'Sales Data'!$F:$F,Dashboard!$AB$2)</f>
        <v>429325</v>
      </c>
      <c r="I16" s="28" t="n">
        <f aca="false">SUMIFS('Sales Data'!$I:$I,'Sales Data'!$B:$B,$B16,'Sales Data'!$F:$F,Dashboard!$AB$2)</f>
        <v>77278.5</v>
      </c>
      <c r="J16" s="29" t="n">
        <f aca="false">IFERROR(I16/H16,0)</f>
        <v>0.18</v>
      </c>
      <c r="K16" s="27" t="n">
        <f aca="false">RANK(H16,$H$5:$H$24)+COUNTIF($H$5:H16,H16)-1</f>
        <v>7</v>
      </c>
      <c r="L16" s="3"/>
      <c r="M16" s="27" t="n">
        <v>12</v>
      </c>
      <c r="N16" s="26" t="str">
        <f aca="false">INDEX($B$5:$B$24,MATCH($M16,$K$5:$K$24,0))</f>
        <v>Standing Desk</v>
      </c>
      <c r="O16" s="28" t="n">
        <f aca="false">INDEX($H$5:$H$24,MATCH($M16,$K$5:$K$24,0))</f>
        <v>339210</v>
      </c>
      <c r="P16" s="28" t="n">
        <f aca="false">INDEX($I$5:$I$24,MATCH($M16,$K$5:$K$24,0))</f>
        <v>64449.9</v>
      </c>
      <c r="Q16" s="27" t="n">
        <f aca="false">INDEX($G$5:$G$24,MATCH($M16,$K$5:$K$24,0))</f>
        <v>18</v>
      </c>
      <c r="R16" s="3"/>
      <c r="S16" s="3" t="str">
        <f aca="false">B15</f>
        <v>27-inch Monitor</v>
      </c>
    </row>
    <row r="17" customFormat="false" ht="15" hidden="false" customHeight="false" outlineLevel="0" collapsed="false">
      <c r="A17" s="27" t="s">
        <v>202</v>
      </c>
      <c r="B17" s="26" t="s">
        <v>48</v>
      </c>
      <c r="C17" s="26" t="s">
        <v>203</v>
      </c>
      <c r="D17" s="28" t="n">
        <v>3999</v>
      </c>
      <c r="E17" s="37" t="n">
        <v>0.24</v>
      </c>
      <c r="F17" s="27" t="n">
        <f aca="false">COUNTIFS('Sales Data'!$A:$A,"&gt;0",'Sales Data'!$B:$B,$B17,'Sales Data'!$F:$F,Dashboard!$AB$2)</f>
        <v>21</v>
      </c>
      <c r="G17" s="27" t="n">
        <f aca="false">SUMIFS('Sales Data'!$H:$H,'Sales Data'!$B:$B,$B17,'Sales Data'!$F:$F,Dashboard!$AB$2)</f>
        <v>68</v>
      </c>
      <c r="H17" s="28" t="n">
        <f aca="false">SUMIFS('Sales Data'!$J:$J,'Sales Data'!$B:$B,$B17,'Sales Data'!$F:$F,Dashboard!$AB$2)</f>
        <v>268770</v>
      </c>
      <c r="I17" s="28" t="n">
        <f aca="false">SUMIFS('Sales Data'!$I:$I,'Sales Data'!$B:$B,$B17,'Sales Data'!$F:$F,Dashboard!$AB$2)</f>
        <v>64504.8</v>
      </c>
      <c r="J17" s="29" t="n">
        <f aca="false">IFERROR(I17/H17,0)</f>
        <v>0.24</v>
      </c>
      <c r="K17" s="27" t="n">
        <f aca="false">RANK(H17,$H$5:$H$24)+COUNTIF($H$5:H17,H17)-1</f>
        <v>14</v>
      </c>
      <c r="L17" s="3"/>
      <c r="M17" s="27" t="n">
        <v>13</v>
      </c>
      <c r="N17" s="26" t="str">
        <f aca="false">INDEX($B$5:$B$24,MATCH($M17,$K$5:$K$24,0))</f>
        <v>Laptop Backpack</v>
      </c>
      <c r="O17" s="28" t="n">
        <f aca="false">INDEX($H$5:$H$24,MATCH($M17,$K$5:$K$24,0))</f>
        <v>285110</v>
      </c>
      <c r="P17" s="28" t="n">
        <f aca="false">INDEX($I$5:$I$24,MATCH($M17,$K$5:$K$24,0))</f>
        <v>99788.5</v>
      </c>
      <c r="Q17" s="27" t="n">
        <f aca="false">INDEX($G$5:$G$24,MATCH($M17,$K$5:$K$24,0))</f>
        <v>162</v>
      </c>
      <c r="R17" s="3"/>
      <c r="S17" s="3" t="str">
        <f aca="false">B16</f>
        <v>External SSD 1TB</v>
      </c>
    </row>
    <row r="18" customFormat="false" ht="15" hidden="false" customHeight="false" outlineLevel="0" collapsed="false">
      <c r="A18" s="27" t="s">
        <v>204</v>
      </c>
      <c r="B18" s="26" t="s">
        <v>64</v>
      </c>
      <c r="C18" s="26" t="s">
        <v>205</v>
      </c>
      <c r="D18" s="28" t="n">
        <v>12999</v>
      </c>
      <c r="E18" s="37" t="n">
        <v>0.16</v>
      </c>
      <c r="F18" s="27" t="n">
        <f aca="false">COUNTIFS('Sales Data'!$A:$A,"&gt;0",'Sales Data'!$B:$B,$B18,'Sales Data'!$F:$F,Dashboard!$AB$2)</f>
        <v>11</v>
      </c>
      <c r="G18" s="27" t="n">
        <f aca="false">SUMIFS('Sales Data'!$H:$H,'Sales Data'!$B:$B,$B18,'Sales Data'!$F:$F,Dashboard!$AB$2)</f>
        <v>27</v>
      </c>
      <c r="H18" s="28" t="n">
        <f aca="false">SUMIFS('Sales Data'!$J:$J,'Sales Data'!$B:$B,$B18,'Sales Data'!$F:$F,Dashboard!$AB$2)</f>
        <v>340640</v>
      </c>
      <c r="I18" s="28" t="n">
        <f aca="false">SUMIFS('Sales Data'!$I:$I,'Sales Data'!$B:$B,$B18,'Sales Data'!$F:$F,Dashboard!$AB$2)</f>
        <v>54502.4</v>
      </c>
      <c r="J18" s="29" t="n">
        <f aca="false">IFERROR(I18/H18,0)</f>
        <v>0.16</v>
      </c>
      <c r="K18" s="27" t="n">
        <f aca="false">RANK(H18,$H$5:$H$24)+COUNTIF($H$5:H18,H18)-1</f>
        <v>10</v>
      </c>
      <c r="L18" s="3"/>
      <c r="M18" s="27" t="n">
        <v>14</v>
      </c>
      <c r="N18" s="26" t="str">
        <f aca="false">INDEX($B$5:$B$24,MATCH($M18,$K$5:$K$24,0))</f>
        <v>Wi-Fi 6 Router</v>
      </c>
      <c r="O18" s="28" t="n">
        <f aca="false">INDEX($H$5:$H$24,MATCH($M18,$K$5:$K$24,0))</f>
        <v>268770</v>
      </c>
      <c r="P18" s="28" t="n">
        <f aca="false">INDEX($I$5:$I$24,MATCH($M18,$K$5:$K$24,0))</f>
        <v>64504.8</v>
      </c>
      <c r="Q18" s="27" t="n">
        <f aca="false">INDEX($G$5:$G$24,MATCH($M18,$K$5:$K$24,0))</f>
        <v>68</v>
      </c>
      <c r="R18" s="3"/>
      <c r="S18" s="3" t="str">
        <f aca="false">B17</f>
        <v>Wi-Fi 6 Router</v>
      </c>
    </row>
    <row r="19" customFormat="false" ht="15" hidden="false" customHeight="false" outlineLevel="0" collapsed="false">
      <c r="A19" s="27" t="s">
        <v>206</v>
      </c>
      <c r="B19" s="26" t="s">
        <v>43</v>
      </c>
      <c r="C19" s="26" t="s">
        <v>207</v>
      </c>
      <c r="D19" s="28" t="n">
        <v>11999</v>
      </c>
      <c r="E19" s="37" t="n">
        <v>0.2</v>
      </c>
      <c r="F19" s="27" t="n">
        <f aca="false">COUNTIFS('Sales Data'!$A:$A,"&gt;0",'Sales Data'!$B:$B,$B19,'Sales Data'!$F:$F,Dashboard!$AB$2)</f>
        <v>19</v>
      </c>
      <c r="G19" s="27" t="n">
        <f aca="false">SUMIFS('Sales Data'!$H:$H,'Sales Data'!$B:$B,$B19,'Sales Data'!$F:$F,Dashboard!$AB$2)</f>
        <v>42</v>
      </c>
      <c r="H19" s="28" t="n">
        <f aca="false">SUMIFS('Sales Data'!$J:$J,'Sales Data'!$B:$B,$B19,'Sales Data'!$F:$F,Dashboard!$AB$2)</f>
        <v>486925</v>
      </c>
      <c r="I19" s="28" t="n">
        <f aca="false">SUMIFS('Sales Data'!$I:$I,'Sales Data'!$B:$B,$B19,'Sales Data'!$F:$F,Dashboard!$AB$2)</f>
        <v>97385</v>
      </c>
      <c r="J19" s="29" t="n">
        <f aca="false">IFERROR(I19/H19,0)</f>
        <v>0.2</v>
      </c>
      <c r="K19" s="27" t="n">
        <f aca="false">RANK(H19,$H$5:$H$24)+COUNTIF($H$5:H19,H19)-1</f>
        <v>5</v>
      </c>
      <c r="L19" s="3"/>
      <c r="M19" s="27" t="n">
        <v>15</v>
      </c>
      <c r="N19" s="26" t="str">
        <f aca="false">INDEX($B$5:$B$24,MATCH($M19,$K$5:$K$24,0))</f>
        <v>Webcam Full HD</v>
      </c>
      <c r="O19" s="28" t="n">
        <f aca="false">INDEX($H$5:$H$24,MATCH($M19,$K$5:$K$24,0))</f>
        <v>247085</v>
      </c>
      <c r="P19" s="28" t="n">
        <f aca="false">INDEX($I$5:$I$24,MATCH($M19,$K$5:$K$24,0))</f>
        <v>64242.1</v>
      </c>
      <c r="Q19" s="27" t="n">
        <f aca="false">INDEX($G$5:$G$24,MATCH($M19,$K$5:$K$24,0))</f>
        <v>84</v>
      </c>
      <c r="R19" s="3"/>
      <c r="S19" s="3" t="str">
        <f aca="false">B18</f>
        <v>Laser Printer</v>
      </c>
    </row>
    <row r="20" customFormat="false" ht="15" hidden="false" customHeight="false" outlineLevel="0" collapsed="false">
      <c r="A20" s="27" t="s">
        <v>208</v>
      </c>
      <c r="B20" s="26" t="s">
        <v>25</v>
      </c>
      <c r="C20" s="26" t="s">
        <v>207</v>
      </c>
      <c r="D20" s="28" t="n">
        <v>18999</v>
      </c>
      <c r="E20" s="37" t="n">
        <v>0.19</v>
      </c>
      <c r="F20" s="27" t="n">
        <f aca="false">COUNTIFS('Sales Data'!$A:$A,"&gt;0",'Sales Data'!$B:$B,$B20,'Sales Data'!$F:$F,Dashboard!$AB$2)</f>
        <v>14</v>
      </c>
      <c r="G20" s="27" t="n">
        <f aca="false">SUMIFS('Sales Data'!$H:$H,'Sales Data'!$B:$B,$B20,'Sales Data'!$F:$F,Dashboard!$AB$2)</f>
        <v>18</v>
      </c>
      <c r="H20" s="28" t="n">
        <f aca="false">SUMIFS('Sales Data'!$J:$J,'Sales Data'!$B:$B,$B20,'Sales Data'!$F:$F,Dashboard!$AB$2)</f>
        <v>339210</v>
      </c>
      <c r="I20" s="28" t="n">
        <f aca="false">SUMIFS('Sales Data'!$I:$I,'Sales Data'!$B:$B,$B20,'Sales Data'!$F:$F,Dashboard!$AB$2)</f>
        <v>64449.9</v>
      </c>
      <c r="J20" s="29" t="n">
        <f aca="false">IFERROR(I20/H20,0)</f>
        <v>0.19</v>
      </c>
      <c r="K20" s="27" t="n">
        <f aca="false">RANK(H20,$H$5:$H$24)+COUNTIF($H$5:H20,H20)-1</f>
        <v>12</v>
      </c>
      <c r="L20" s="3"/>
      <c r="M20" s="27" t="n">
        <v>16</v>
      </c>
      <c r="N20" s="26" t="str">
        <f aca="false">INDEX($B$5:$B$24,MATCH($M20,$K$5:$K$24,0))</f>
        <v>USB-C Hub 7-in-1</v>
      </c>
      <c r="O20" s="28" t="n">
        <f aca="false">INDEX($H$5:$H$24,MATCH($M20,$K$5:$K$24,0))</f>
        <v>199305</v>
      </c>
      <c r="P20" s="28" t="n">
        <f aca="false">INDEX($I$5:$I$24,MATCH($M20,$K$5:$K$24,0))</f>
        <v>59791.5</v>
      </c>
      <c r="Q20" s="27" t="n">
        <f aca="false">INDEX($G$5:$G$24,MATCH($M20,$K$5:$K$24,0))</f>
        <v>88</v>
      </c>
      <c r="R20" s="3"/>
      <c r="S20" s="3" t="str">
        <f aca="false">B19</f>
        <v>Ergonomic Office Chair</v>
      </c>
    </row>
    <row r="21" customFormat="false" ht="15" hidden="false" customHeight="false" outlineLevel="0" collapsed="false">
      <c r="A21" s="27" t="s">
        <v>209</v>
      </c>
      <c r="B21" s="26" t="s">
        <v>42</v>
      </c>
      <c r="C21" s="26" t="s">
        <v>210</v>
      </c>
      <c r="D21" s="28" t="n">
        <v>1299</v>
      </c>
      <c r="E21" s="37" t="n">
        <v>0.38</v>
      </c>
      <c r="F21" s="27" t="n">
        <f aca="false">COUNTIFS('Sales Data'!$A:$A,"&gt;0",'Sales Data'!$B:$B,$B21,'Sales Data'!$F:$F,Dashboard!$AB$2)</f>
        <v>25</v>
      </c>
      <c r="G21" s="27" t="n">
        <f aca="false">SUMIFS('Sales Data'!$H:$H,'Sales Data'!$B:$B,$B21,'Sales Data'!$F:$F,Dashboard!$AB$2)</f>
        <v>124</v>
      </c>
      <c r="H21" s="28" t="n">
        <f aca="false">SUMIFS('Sales Data'!$J:$J,'Sales Data'!$B:$B,$B21,'Sales Data'!$F:$F,Dashboard!$AB$2)</f>
        <v>159215</v>
      </c>
      <c r="I21" s="28" t="n">
        <f aca="false">SUMIFS('Sales Data'!$I:$I,'Sales Data'!$B:$B,$B21,'Sales Data'!$F:$F,Dashboard!$AB$2)</f>
        <v>60501.7</v>
      </c>
      <c r="J21" s="29" t="n">
        <f aca="false">IFERROR(I21/H21,0)</f>
        <v>0.38</v>
      </c>
      <c r="K21" s="27" t="n">
        <f aca="false">RANK(H21,$H$5:$H$24)+COUNTIF($H$5:H21,H21)-1</f>
        <v>20</v>
      </c>
      <c r="L21" s="3"/>
      <c r="M21" s="27" t="n">
        <v>17</v>
      </c>
      <c r="N21" s="26" t="str">
        <f aca="false">INDEX($B$5:$B$24,MATCH($M21,$K$5:$K$24,0))</f>
        <v>Air Purifier</v>
      </c>
      <c r="O21" s="28" t="n">
        <f aca="false">INDEX($H$5:$H$24,MATCH($M21,$K$5:$K$24,0))</f>
        <v>198935</v>
      </c>
      <c r="P21" s="28" t="n">
        <f aca="false">INDEX($I$5:$I$24,MATCH($M21,$K$5:$K$24,0))</f>
        <v>41776.35</v>
      </c>
      <c r="Q21" s="27" t="n">
        <f aca="false">INDEX($G$5:$G$24,MATCH($M21,$K$5:$K$24,0))</f>
        <v>20</v>
      </c>
      <c r="R21" s="3"/>
      <c r="S21" s="3" t="str">
        <f aca="false">B20</f>
        <v>Standing Desk</v>
      </c>
    </row>
    <row r="22" customFormat="false" ht="15" hidden="false" customHeight="false" outlineLevel="0" collapsed="false">
      <c r="A22" s="27" t="s">
        <v>211</v>
      </c>
      <c r="B22" s="26" t="s">
        <v>29</v>
      </c>
      <c r="C22" s="26" t="s">
        <v>212</v>
      </c>
      <c r="D22" s="28" t="n">
        <v>9999</v>
      </c>
      <c r="E22" s="37" t="n">
        <v>0.21</v>
      </c>
      <c r="F22" s="27" t="n">
        <f aca="false">COUNTIFS('Sales Data'!$A:$A,"&gt;0",'Sales Data'!$B:$B,$B22,'Sales Data'!$F:$F,Dashboard!$AB$2)</f>
        <v>11</v>
      </c>
      <c r="G22" s="27" t="n">
        <f aca="false">SUMIFS('Sales Data'!$H:$H,'Sales Data'!$B:$B,$B22,'Sales Data'!$F:$F,Dashboard!$AB$2)</f>
        <v>20</v>
      </c>
      <c r="H22" s="28" t="n">
        <f aca="false">SUMIFS('Sales Data'!$J:$J,'Sales Data'!$B:$B,$B22,'Sales Data'!$F:$F,Dashboard!$AB$2)</f>
        <v>198935</v>
      </c>
      <c r="I22" s="28" t="n">
        <f aca="false">SUMIFS('Sales Data'!$I:$I,'Sales Data'!$B:$B,$B22,'Sales Data'!$F:$F,Dashboard!$AB$2)</f>
        <v>41776.35</v>
      </c>
      <c r="J22" s="29" t="n">
        <f aca="false">IFERROR(I22/H22,0)</f>
        <v>0.21</v>
      </c>
      <c r="K22" s="27" t="n">
        <f aca="false">RANK(H22,$H$5:$H$24)+COUNTIF($H$5:H22,H22)-1</f>
        <v>17</v>
      </c>
      <c r="L22" s="3"/>
      <c r="M22" s="27" t="n">
        <v>18</v>
      </c>
      <c r="N22" s="26" t="str">
        <f aca="false">INDEX($B$5:$B$24,MATCH($M22,$K$5:$K$24,0))</f>
        <v>Wireless Mouse</v>
      </c>
      <c r="O22" s="28" t="n">
        <f aca="false">INDEX($H$5:$H$24,MATCH($M22,$K$5:$K$24,0))</f>
        <v>198040</v>
      </c>
      <c r="P22" s="28" t="n">
        <f aca="false">INDEX($I$5:$I$24,MATCH($M22,$K$5:$K$24,0))</f>
        <v>63372.8</v>
      </c>
      <c r="Q22" s="27" t="n">
        <f aca="false">INDEX($G$5:$G$24,MATCH($M22,$K$5:$K$24,0))</f>
        <v>250</v>
      </c>
      <c r="R22" s="3"/>
      <c r="S22" s="3" t="str">
        <f aca="false">B21</f>
        <v>LED Desk Lamp</v>
      </c>
    </row>
    <row r="23" customFormat="false" ht="15" hidden="false" customHeight="false" outlineLevel="0" collapsed="false">
      <c r="A23" s="27" t="s">
        <v>213</v>
      </c>
      <c r="B23" s="26" t="s">
        <v>20</v>
      </c>
      <c r="C23" s="26" t="s">
        <v>214</v>
      </c>
      <c r="D23" s="28" t="n">
        <v>19999</v>
      </c>
      <c r="E23" s="37" t="n">
        <v>0.12</v>
      </c>
      <c r="F23" s="27" t="n">
        <f aca="false">COUNTIFS('Sales Data'!$A:$A,"&gt;0",'Sales Data'!$B:$B,$B23,'Sales Data'!$F:$F,Dashboard!$AB$2)</f>
        <v>11</v>
      </c>
      <c r="G23" s="27" t="n">
        <f aca="false">SUMIFS('Sales Data'!$H:$H,'Sales Data'!$B:$B,$B23,'Sales Data'!$F:$F,Dashboard!$AB$2)</f>
        <v>23</v>
      </c>
      <c r="H23" s="28" t="n">
        <f aca="false">SUMIFS('Sales Data'!$J:$J,'Sales Data'!$B:$B,$B23,'Sales Data'!$F:$F,Dashboard!$AB$2)</f>
        <v>458970</v>
      </c>
      <c r="I23" s="28" t="n">
        <f aca="false">SUMIFS('Sales Data'!$I:$I,'Sales Data'!$B:$B,$B23,'Sales Data'!$F:$F,Dashboard!$AB$2)</f>
        <v>55076.4</v>
      </c>
      <c r="J23" s="29" t="n">
        <f aca="false">IFERROR(I23/H23,0)</f>
        <v>0.12</v>
      </c>
      <c r="K23" s="27" t="n">
        <f aca="false">RANK(H23,$H$5:$H$24)+COUNTIF($H$5:H23,H23)-1</f>
        <v>6</v>
      </c>
      <c r="L23" s="3"/>
      <c r="M23" s="27" t="n">
        <v>19</v>
      </c>
      <c r="N23" s="26" t="str">
        <f aca="false">INDEX($B$5:$B$24,MATCH($M23,$K$5:$K$24,0))</f>
        <v>Fitness Band</v>
      </c>
      <c r="O23" s="28" t="n">
        <f aca="false">INDEX($H$5:$H$24,MATCH($M23,$K$5:$K$24,0))</f>
        <v>182220</v>
      </c>
      <c r="P23" s="28" t="n">
        <f aca="false">INDEX($I$5:$I$24,MATCH($M23,$K$5:$K$24,0))</f>
        <v>45555</v>
      </c>
      <c r="Q23" s="27" t="n">
        <f aca="false">INDEX($G$5:$G$24,MATCH($M23,$K$5:$K$24,0))</f>
        <v>74</v>
      </c>
      <c r="R23" s="3"/>
      <c r="S23" s="3" t="str">
        <f aca="false">B22</f>
        <v>Air Purifier</v>
      </c>
    </row>
    <row r="24" customFormat="false" ht="15" hidden="false" customHeight="false" outlineLevel="0" collapsed="false">
      <c r="A24" s="27" t="s">
        <v>215</v>
      </c>
      <c r="B24" s="26" t="s">
        <v>31</v>
      </c>
      <c r="C24" s="26" t="s">
        <v>214</v>
      </c>
      <c r="D24" s="28" t="n">
        <v>24999</v>
      </c>
      <c r="E24" s="37" t="n">
        <v>0.1</v>
      </c>
      <c r="F24" s="27" t="n">
        <f aca="false">COUNTIFS('Sales Data'!$A:$A,"&gt;0",'Sales Data'!$B:$B,$B24,'Sales Data'!$F:$F,Dashboard!$AB$2)</f>
        <v>25</v>
      </c>
      <c r="G24" s="27" t="n">
        <f aca="false">SUMIFS('Sales Data'!$H:$H,'Sales Data'!$B:$B,$B24,'Sales Data'!$F:$F,Dashboard!$AB$2)</f>
        <v>52</v>
      </c>
      <c r="H24" s="28" t="n">
        <f aca="false">SUMIFS('Sales Data'!$J:$J,'Sales Data'!$B:$B,$B24,'Sales Data'!$F:$F,Dashboard!$AB$2)</f>
        <v>1277725</v>
      </c>
      <c r="I24" s="28" t="n">
        <f aca="false">SUMIFS('Sales Data'!$I:$I,'Sales Data'!$B:$B,$B24,'Sales Data'!$F:$F,Dashboard!$AB$2)</f>
        <v>127772.5</v>
      </c>
      <c r="J24" s="29" t="n">
        <f aca="false">IFERROR(I24/H24,0)</f>
        <v>0.1</v>
      </c>
      <c r="K24" s="27" t="n">
        <f aca="false">RANK(H24,$H$5:$H$24)+COUNTIF($H$5:H24,H24)-1</f>
        <v>1</v>
      </c>
      <c r="L24" s="3"/>
      <c r="M24" s="27" t="n">
        <v>20</v>
      </c>
      <c r="N24" s="26" t="str">
        <f aca="false">INDEX($B$5:$B$24,MATCH($M24,$K$5:$K$24,0))</f>
        <v>LED Desk Lamp</v>
      </c>
      <c r="O24" s="28" t="n">
        <f aca="false">INDEX($H$5:$H$24,MATCH($M24,$K$5:$K$24,0))</f>
        <v>159215</v>
      </c>
      <c r="P24" s="28" t="n">
        <f aca="false">INDEX($I$5:$I$24,MATCH($M24,$K$5:$K$24,0))</f>
        <v>60501.7</v>
      </c>
      <c r="Q24" s="27" t="n">
        <f aca="false">INDEX($G$5:$G$24,MATCH($M24,$K$5:$K$24,0))</f>
        <v>124</v>
      </c>
      <c r="R24" s="3"/>
      <c r="S24" s="3" t="str">
        <f aca="false">B23</f>
        <v>Tablet 10-inch</v>
      </c>
    </row>
    <row r="25" customFormat="false" ht="15" hidden="false" customHeight="false" outlineLevel="0" collapsed="false">
      <c r="A25" s="30"/>
      <c r="B25" s="30" t="s">
        <v>173</v>
      </c>
      <c r="C25" s="30"/>
      <c r="D25" s="30"/>
      <c r="E25" s="30"/>
      <c r="F25" s="31" t="n">
        <f aca="false">SUM(F5:F24)</f>
        <v>500</v>
      </c>
      <c r="G25" s="31" t="n">
        <f aca="false">SUM(G5:G24)</f>
        <v>1715</v>
      </c>
      <c r="H25" s="32" t="n">
        <f aca="false">SUM(H5:H24)</f>
        <v>7970370</v>
      </c>
      <c r="I25" s="32" t="n">
        <f aca="false">SUM(I5:I24)</f>
        <v>1652570.5</v>
      </c>
      <c r="J25" s="33" t="n">
        <f aca="false">IFERROR(I25/H25,0)</f>
        <v>0.207339245229519</v>
      </c>
      <c r="K25" s="30"/>
      <c r="L25" s="3"/>
      <c r="M25" s="3"/>
      <c r="N25" s="3"/>
      <c r="O25" s="3"/>
      <c r="P25" s="3"/>
      <c r="Q25" s="3"/>
      <c r="R25" s="3"/>
      <c r="S25" s="3" t="str">
        <f aca="false">B24</f>
        <v>Smartphone 5G</v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customFormat="false" ht="15" hidden="false" customHeight="false" outlineLevel="0" collapsed="false">
      <c r="A27" s="25" t="s">
        <v>216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</sheetData>
  <conditionalFormatting sqref="O5:O24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{A74F66E6-6026-4560-BFBD-2DFFC9A03395}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F66E6-6026-4560-BFBD-2DFFC9A03395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O5:O24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A3"/>
    <pageSetUpPr fitToPage="fals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5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24" t="s">
        <v>217</v>
      </c>
      <c r="B1" s="3"/>
      <c r="C1" s="3"/>
    </row>
    <row r="2" customFormat="false" ht="30" hidden="false" customHeight="true" outlineLevel="0" collapsed="false">
      <c r="A2" s="38" t="s">
        <v>218</v>
      </c>
      <c r="B2" s="38"/>
      <c r="C2" s="38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9" t="s">
        <v>219</v>
      </c>
      <c r="B4" s="40"/>
      <c r="C4" s="40"/>
    </row>
    <row r="5" customFormat="false" ht="23.85" hidden="false" customHeight="false" outlineLevel="0" collapsed="false">
      <c r="A5" s="41" t="s">
        <v>220</v>
      </c>
      <c r="B5" s="42" t="s">
        <v>221</v>
      </c>
      <c r="C5" s="3"/>
    </row>
    <row r="6" customFormat="false" ht="23.85" hidden="false" customHeight="false" outlineLevel="0" collapsed="false">
      <c r="A6" s="41" t="s">
        <v>222</v>
      </c>
      <c r="B6" s="42" t="s">
        <v>223</v>
      </c>
      <c r="C6" s="3"/>
    </row>
    <row r="7" customFormat="false" ht="15" hidden="false" customHeight="false" outlineLevel="0" collapsed="false">
      <c r="A7" s="3"/>
      <c r="B7" s="3"/>
      <c r="C7" s="3"/>
    </row>
    <row r="8" customFormat="false" ht="15" hidden="false" customHeight="false" outlineLevel="0" collapsed="false">
      <c r="A8" s="39" t="s">
        <v>224</v>
      </c>
      <c r="B8" s="40"/>
      <c r="C8" s="40"/>
    </row>
    <row r="9" customFormat="false" ht="15" hidden="false" customHeight="false" outlineLevel="0" collapsed="false">
      <c r="A9" s="41" t="s">
        <v>225</v>
      </c>
      <c r="B9" s="42" t="s">
        <v>226</v>
      </c>
      <c r="C9" s="3"/>
    </row>
    <row r="10" customFormat="false" ht="15" hidden="false" customHeight="false" outlineLevel="0" collapsed="false">
      <c r="A10" s="41" t="s">
        <v>227</v>
      </c>
      <c r="B10" s="42" t="s">
        <v>228</v>
      </c>
      <c r="C10" s="3"/>
    </row>
    <row r="11" customFormat="false" ht="15" hidden="false" customHeight="false" outlineLevel="0" collapsed="false">
      <c r="A11" s="41" t="s">
        <v>229</v>
      </c>
      <c r="B11" s="42" t="s">
        <v>230</v>
      </c>
      <c r="C11" s="3"/>
    </row>
    <row r="12" customFormat="false" ht="23.85" hidden="false" customHeight="false" outlineLevel="0" collapsed="false">
      <c r="A12" s="41" t="s">
        <v>231</v>
      </c>
      <c r="B12" s="42" t="s">
        <v>232</v>
      </c>
      <c r="C12" s="3"/>
    </row>
    <row r="13" customFormat="false" ht="15" hidden="false" customHeight="false" outlineLevel="0" collapsed="false">
      <c r="A13" s="41" t="s">
        <v>233</v>
      </c>
      <c r="B13" s="42" t="s">
        <v>234</v>
      </c>
      <c r="C13" s="3"/>
    </row>
    <row r="14" customFormat="false" ht="15" hidden="false" customHeight="false" outlineLevel="0" collapsed="false">
      <c r="A14" s="3"/>
      <c r="B14" s="3"/>
      <c r="C14" s="3"/>
    </row>
    <row r="15" customFormat="false" ht="15" hidden="false" customHeight="false" outlineLevel="0" collapsed="false">
      <c r="A15" s="39" t="s">
        <v>235</v>
      </c>
      <c r="B15" s="40"/>
      <c r="C15" s="40"/>
    </row>
    <row r="16" customFormat="false" ht="15" hidden="false" customHeight="false" outlineLevel="0" collapsed="false">
      <c r="A16" s="41" t="s">
        <v>0</v>
      </c>
      <c r="B16" s="42" t="s">
        <v>236</v>
      </c>
      <c r="C16" s="3"/>
    </row>
    <row r="17" customFormat="false" ht="15" hidden="false" customHeight="false" outlineLevel="0" collapsed="false">
      <c r="A17" s="41" t="s">
        <v>1</v>
      </c>
      <c r="B17" s="42" t="s">
        <v>237</v>
      </c>
      <c r="C17" s="3"/>
    </row>
    <row r="18" customFormat="false" ht="15" hidden="false" customHeight="false" outlineLevel="0" collapsed="false">
      <c r="A18" s="41" t="s">
        <v>2</v>
      </c>
      <c r="B18" s="42" t="s">
        <v>238</v>
      </c>
      <c r="C18" s="3"/>
    </row>
    <row r="19" customFormat="false" ht="15" hidden="false" customHeight="false" outlineLevel="0" collapsed="false">
      <c r="A19" s="41" t="s">
        <v>3</v>
      </c>
      <c r="B19" s="42" t="s">
        <v>239</v>
      </c>
      <c r="C19" s="3"/>
    </row>
    <row r="20" customFormat="false" ht="15" hidden="false" customHeight="false" outlineLevel="0" collapsed="false">
      <c r="A20" s="41" t="s">
        <v>4</v>
      </c>
      <c r="B20" s="42" t="s">
        <v>240</v>
      </c>
      <c r="C20" s="3"/>
    </row>
    <row r="21" customFormat="false" ht="15" hidden="false" customHeight="false" outlineLevel="0" collapsed="false">
      <c r="A21" s="41" t="s">
        <v>5</v>
      </c>
      <c r="B21" s="42" t="s">
        <v>241</v>
      </c>
      <c r="C21" s="3"/>
    </row>
    <row r="22" customFormat="false" ht="15" hidden="false" customHeight="false" outlineLevel="0" collapsed="false">
      <c r="A22" s="41" t="s">
        <v>6</v>
      </c>
      <c r="B22" s="42" t="s">
        <v>242</v>
      </c>
      <c r="C22" s="3"/>
    </row>
    <row r="23" customFormat="false" ht="15" hidden="false" customHeight="false" outlineLevel="0" collapsed="false">
      <c r="A23" s="41" t="s">
        <v>7</v>
      </c>
      <c r="B23" s="42" t="s">
        <v>243</v>
      </c>
      <c r="C23" s="3"/>
    </row>
    <row r="24" customFormat="false" ht="15" hidden="false" customHeight="false" outlineLevel="0" collapsed="false">
      <c r="A24" s="41" t="s">
        <v>8</v>
      </c>
      <c r="B24" s="42" t="s">
        <v>244</v>
      </c>
      <c r="C24" s="3"/>
    </row>
    <row r="25" customFormat="false" ht="15" hidden="false" customHeight="false" outlineLevel="0" collapsed="false">
      <c r="A25" s="41" t="s">
        <v>9</v>
      </c>
      <c r="B25" s="42" t="s">
        <v>245</v>
      </c>
      <c r="C25" s="3"/>
    </row>
    <row r="26" customFormat="false" ht="15" hidden="false" customHeight="false" outlineLevel="0" collapsed="false">
      <c r="A26" s="3"/>
      <c r="B26" s="3"/>
      <c r="C26" s="3"/>
    </row>
    <row r="27" customFormat="false" ht="15" hidden="false" customHeight="false" outlineLevel="0" collapsed="false">
      <c r="A27" s="39" t="s">
        <v>246</v>
      </c>
      <c r="B27" s="40"/>
      <c r="C27" s="40"/>
    </row>
    <row r="28" customFormat="false" ht="35.05" hidden="false" customHeight="false" outlineLevel="0" collapsed="false">
      <c r="A28" s="41" t="s">
        <v>247</v>
      </c>
      <c r="B28" s="42" t="s">
        <v>248</v>
      </c>
      <c r="C28" s="3"/>
    </row>
    <row r="29" customFormat="false" ht="15" hidden="false" customHeight="false" outlineLevel="0" collapsed="false">
      <c r="A29" s="41" t="s">
        <v>249</v>
      </c>
      <c r="B29" s="42" t="s">
        <v>250</v>
      </c>
      <c r="C29" s="3"/>
    </row>
    <row r="30" customFormat="false" ht="15" hidden="false" customHeight="false" outlineLevel="0" collapsed="false">
      <c r="A30" s="41" t="s">
        <v>251</v>
      </c>
      <c r="B30" s="42" t="s">
        <v>252</v>
      </c>
      <c r="C30" s="3"/>
    </row>
    <row r="31" customFormat="false" ht="15" hidden="false" customHeight="false" outlineLevel="0" collapsed="false">
      <c r="A31" s="41" t="s">
        <v>253</v>
      </c>
      <c r="B31" s="42" t="s">
        <v>254</v>
      </c>
      <c r="C31" s="3"/>
    </row>
    <row r="32" customFormat="false" ht="23.85" hidden="false" customHeight="false" outlineLevel="0" collapsed="false">
      <c r="A32" s="41" t="s">
        <v>255</v>
      </c>
      <c r="B32" s="42" t="s">
        <v>256</v>
      </c>
      <c r="C32" s="3"/>
    </row>
    <row r="33" customFormat="false" ht="15" hidden="false" customHeight="false" outlineLevel="0" collapsed="false">
      <c r="A33" s="3"/>
      <c r="B33" s="3"/>
      <c r="C33" s="3"/>
    </row>
    <row r="34" customFormat="false" ht="15" hidden="false" customHeight="false" outlineLevel="0" collapsed="false">
      <c r="A34" s="39" t="s">
        <v>257</v>
      </c>
      <c r="B34" s="40"/>
      <c r="C34" s="40"/>
    </row>
    <row r="35" customFormat="false" ht="23.85" hidden="false" customHeight="false" outlineLevel="0" collapsed="false">
      <c r="A35" s="41" t="s">
        <v>258</v>
      </c>
      <c r="B35" s="42" t="s">
        <v>259</v>
      </c>
      <c r="C35" s="3"/>
    </row>
    <row r="36" customFormat="false" ht="23.85" hidden="false" customHeight="false" outlineLevel="0" collapsed="false">
      <c r="A36" s="41" t="s">
        <v>260</v>
      </c>
      <c r="B36" s="42" t="s">
        <v>261</v>
      </c>
      <c r="C36" s="3"/>
    </row>
    <row r="37" customFormat="false" ht="15" hidden="false" customHeight="false" outlineLevel="0" collapsed="false">
      <c r="A37" s="41" t="s">
        <v>262</v>
      </c>
      <c r="B37" s="42" t="s">
        <v>263</v>
      </c>
      <c r="C37" s="3"/>
    </row>
    <row r="38" customFormat="false" ht="15" hidden="false" customHeight="false" outlineLevel="0" collapsed="false">
      <c r="A38" s="3"/>
      <c r="B38" s="3"/>
      <c r="C38" s="3"/>
    </row>
    <row r="39" customFormat="false" ht="15" hidden="false" customHeight="false" outlineLevel="0" collapsed="false">
      <c r="A39" s="39" t="s">
        <v>264</v>
      </c>
      <c r="B39" s="40"/>
      <c r="C39" s="40"/>
    </row>
    <row r="40" customFormat="false" ht="35.05" hidden="false" customHeight="false" outlineLevel="0" collapsed="false">
      <c r="A40" s="41" t="s">
        <v>265</v>
      </c>
      <c r="B40" s="42" t="s">
        <v>266</v>
      </c>
      <c r="C40" s="3"/>
    </row>
    <row r="41" customFormat="false" ht="23.85" hidden="false" customHeight="false" outlineLevel="0" collapsed="false">
      <c r="A41" s="41" t="s">
        <v>267</v>
      </c>
      <c r="B41" s="42" t="s">
        <v>268</v>
      </c>
      <c r="C41" s="3"/>
    </row>
    <row r="42" customFormat="false" ht="15" hidden="false" customHeight="false" outlineLevel="0" collapsed="false">
      <c r="A42" s="41" t="s">
        <v>269</v>
      </c>
      <c r="B42" s="42" t="s">
        <v>270</v>
      </c>
      <c r="C42" s="3"/>
    </row>
    <row r="43" customFormat="false" ht="23.85" hidden="false" customHeight="false" outlineLevel="0" collapsed="false">
      <c r="A43" s="41" t="s">
        <v>271</v>
      </c>
      <c r="B43" s="42" t="s">
        <v>272</v>
      </c>
      <c r="C43" s="3"/>
    </row>
    <row r="44" customFormat="false" ht="15" hidden="false" customHeight="false" outlineLevel="0" collapsed="false">
      <c r="A44" s="41" t="s">
        <v>273</v>
      </c>
      <c r="B44" s="42" t="s">
        <v>274</v>
      </c>
      <c r="C44" s="3"/>
    </row>
    <row r="45" customFormat="false" ht="15" hidden="false" customHeight="false" outlineLevel="0" collapsed="false">
      <c r="A45" s="3"/>
      <c r="B45" s="3"/>
      <c r="C45" s="3"/>
    </row>
    <row r="46" customFormat="false" ht="15" hidden="false" customHeight="false" outlineLevel="0" collapsed="false">
      <c r="A46" s="39" t="s">
        <v>275</v>
      </c>
      <c r="B46" s="40"/>
      <c r="C46" s="40"/>
    </row>
    <row r="47" customFormat="false" ht="15" hidden="false" customHeight="false" outlineLevel="0" collapsed="false">
      <c r="A47" s="43" t="s">
        <v>276</v>
      </c>
      <c r="B47" s="44" t="s">
        <v>277</v>
      </c>
      <c r="C47" s="45" t="str">
        <f aca="false">IF(COUNT('Sales Data'!A2:A501)=500,"OK","CHECK")</f>
        <v>OK</v>
      </c>
    </row>
    <row r="48" customFormat="false" ht="15" hidden="false" customHeight="false" outlineLevel="0" collapsed="false">
      <c r="A48" s="43" t="s">
        <v>278</v>
      </c>
      <c r="B48" s="44" t="s">
        <v>279</v>
      </c>
      <c r="C48" s="45" t="str">
        <f aca="false">IF(AND(MIN('Sales Data'!A2:A501)=1,MAX('Sales Data'!A2:A501)=500,SUMPRODUCT(--('Sales Data'!A3:A501-'Sales Data'!A2:A500=1))=499),"OK","CHECK")</f>
        <v>OK</v>
      </c>
    </row>
    <row r="49" customFormat="false" ht="15" hidden="false" customHeight="false" outlineLevel="0" collapsed="false">
      <c r="A49" s="43" t="s">
        <v>280</v>
      </c>
      <c r="B49" s="44" t="s">
        <v>281</v>
      </c>
      <c r="C49" s="45" t="str">
        <f aca="false">IF(COUNTBLANK('Sales Data'!A2:J501)=0,"OK","CHECK")</f>
        <v>OK</v>
      </c>
    </row>
    <row r="50" customFormat="false" ht="15" hidden="false" customHeight="false" outlineLevel="0" collapsed="false">
      <c r="A50" s="43" t="s">
        <v>282</v>
      </c>
      <c r="B50" s="44" t="s">
        <v>283</v>
      </c>
      <c r="C50" s="45" t="str">
        <f aca="false">IF(AND(COUNT('Sales Data'!D2:D501)=500,MIN('Sales Data'!D2:D501)&gt;=DATE(2025,11,1),MAX('Sales Data'!D2:D501)&lt;=DATE(2026,10,31)),"OK","CHECK")</f>
        <v>OK</v>
      </c>
    </row>
    <row r="51" customFormat="false" ht="15" hidden="false" customHeight="false" outlineLevel="0" collapsed="false">
      <c r="A51" s="43" t="s">
        <v>284</v>
      </c>
      <c r="B51" s="44" t="s">
        <v>285</v>
      </c>
      <c r="C51" s="45" t="str">
        <f aca="false">IF(ABS(SUM('Sales Data'!J2:J501)-SUMPRODUCT('Sales Data'!C2:C501,'Sales Data'!H2:H501))&lt;0.01,"OK","CHECK")</f>
        <v>OK</v>
      </c>
    </row>
    <row r="52" customFormat="false" ht="15" hidden="false" customHeight="false" outlineLevel="0" collapsed="false">
      <c r="A52" s="43" t="s">
        <v>286</v>
      </c>
      <c r="B52" s="44" t="s">
        <v>287</v>
      </c>
      <c r="C52" s="45" t="str">
        <f aca="false">IF(AND(SUMPRODUCT(--('Sales Data'!I2:I501&lt;=0))=0,SUMPRODUCT(--('Sales Data'!I2:I501&gt;'Sales Data'!J2:J501))=0),"OK","CHECK")</f>
        <v>OK</v>
      </c>
    </row>
    <row r="53" customFormat="false" ht="15" hidden="false" customHeight="false" outlineLevel="0" collapsed="false">
      <c r="A53" s="43" t="s">
        <v>288</v>
      </c>
      <c r="B53" s="44" t="s">
        <v>289</v>
      </c>
      <c r="C53" s="45" t="str">
        <f aca="false">IF('Monthly Summary'!D17=SUM('Sales Data'!J2:J501),"OK","Filter on / CHECK")</f>
        <v>OK</v>
      </c>
    </row>
    <row r="54" customFormat="false" ht="15" hidden="false" customHeight="false" outlineLevel="0" collapsed="false">
      <c r="A54" s="43" t="s">
        <v>290</v>
      </c>
      <c r="B54" s="44" t="s">
        <v>291</v>
      </c>
      <c r="C54" s="45" t="str">
        <f aca="false">IF('Product Summary'!H25=SUM('Sales Data'!J2:J501),"OK","Filter on / CHECK")</f>
        <v>OK</v>
      </c>
    </row>
    <row r="55" customFormat="false" ht="15" hidden="false" customHeight="false" outlineLevel="0" collapsed="false">
      <c r="A55" s="43" t="s">
        <v>292</v>
      </c>
      <c r="B55" s="44" t="s">
        <v>293</v>
      </c>
      <c r="C55" s="45" t="str">
        <f aca="false">IF(Dashboard!B8=SUM('Sales Data'!J2:J501),"OK","Filter on / CHECK")</f>
        <v>OK</v>
      </c>
    </row>
    <row r="56" customFormat="false" ht="15" hidden="false" customHeight="false" outlineLevel="0" collapsed="false">
      <c r="A56" s="43" t="s">
        <v>294</v>
      </c>
      <c r="B56" s="44" t="s">
        <v>293</v>
      </c>
      <c r="C56" s="45" t="str">
        <f aca="false">IF(ABS(Dashboard!G8-SUM('Sales Data'!I2:I501))&lt;0.01,"OK","Filter on / CHECK")</f>
        <v>OK</v>
      </c>
    </row>
    <row r="57" customFormat="false" ht="15" hidden="false" customHeight="false" outlineLevel="0" collapsed="false">
      <c r="A57" s="3"/>
      <c r="B57" s="3"/>
      <c r="C57" s="3"/>
    </row>
    <row r="58" customFormat="false" ht="15" hidden="false" customHeight="false" outlineLevel="0" collapsed="false">
      <c r="A58" s="39" t="s">
        <v>295</v>
      </c>
      <c r="B58" s="40"/>
      <c r="C58" s="40"/>
    </row>
    <row r="59" customFormat="false" ht="15" hidden="false" customHeight="false" outlineLevel="0" collapsed="false">
      <c r="A59" s="41" t="s">
        <v>296</v>
      </c>
      <c r="B59" s="42" t="s">
        <v>297</v>
      </c>
      <c r="C59" s="3"/>
    </row>
    <row r="60" customFormat="false" ht="23.85" hidden="false" customHeight="false" outlineLevel="0" collapsed="false">
      <c r="A60" s="41" t="s">
        <v>298</v>
      </c>
      <c r="B60" s="42" t="s">
        <v>299</v>
      </c>
      <c r="C60" s="3"/>
    </row>
    <row r="61" customFormat="false" ht="15" hidden="false" customHeight="false" outlineLevel="0" collapsed="false">
      <c r="A61" s="41" t="s">
        <v>300</v>
      </c>
      <c r="B61" s="42" t="s">
        <v>301</v>
      </c>
      <c r="C61" s="3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2026-10-26T21:00:26Z</dcterms:created>
  <dc:creator>openpyxl</dc:creator>
  <dc:description/>
  <dc:language>en-US</dc:language>
  <cp:lastModifiedBy/>
  <dcterms:modified xsi:type="dcterms:W3CDTF">2026-10-26T21:00:29Z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